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ORTADA" sheetId="1" state="visible" r:id="rId3"/>
    <sheet name="PB_Dashboard" sheetId="2" state="visible" r:id="rId4"/>
    <sheet name="PB_Costo_Calibre" sheetId="3" state="visible" r:id="rId5"/>
    <sheet name="SUMAR_KPIs" sheetId="4" state="visible" r:id="rId6"/>
    <sheet name="SUMAR_SPC" sheetId="5" state="visible" r:id="rId7"/>
    <sheet name="SUMAR_Ejecutiv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<sst xmlns="http://schemas.openxmlformats.org/spreadsheetml/2006/main" count="379" uniqueCount="299">
  <si>
    <t xml:space="preserve">FRANCISCO ROLANDO GARCÍA  |  ANALYTICS PORTFOLIO</t>
  </si>
  <si>
    <t xml:space="preserve">Business &amp; Operations Analytics  ·  Excel  ·  Power BI  ·  KPI Systems  ·  Cost Modeling</t>
  </si>
  <si>
    <t xml:space="preserve">Palo Blanco S.A.  (Aguacate Fresco para Exportación)   +   Alimentos Sumar S.A.  (Frutas y Verduras Congeladas)</t>
  </si>
  <si>
    <t xml:space="preserve">CONTENIDO DEL PORTAFOLIO</t>
  </si>
  <si>
    <t xml:space="preserve">MÓDULO</t>
  </si>
  <si>
    <t xml:space="preserve">HOJA</t>
  </si>
  <si>
    <t xml:space="preserve">DESCRIPCIÓN</t>
  </si>
  <si>
    <t xml:space="preserve">🏭 PALO BLANCO — Dashboard Operativo</t>
  </si>
  <si>
    <t xml:space="preserve">PB_Dashboard</t>
  </si>
  <si>
    <t xml:space="preserve">Dashboard semanal: productividad, mermas y costos en empaque de aguacate</t>
  </si>
  <si>
    <t xml:space="preserve">💰 PALO BLANCO — Modelo de Costos</t>
  </si>
  <si>
    <t xml:space="preserve">PB_Costo_Calibre</t>
  </si>
  <si>
    <t xml:space="preserve">Costo por kg por calibre, merma valorizada, rentabilidad por lote</t>
  </si>
  <si>
    <t xml:space="preserve">📊 SUMAR — KPIs de Producción</t>
  </si>
  <si>
    <t xml:space="preserve">SUMAR_KPIs</t>
  </si>
  <si>
    <t xml:space="preserve">Seguimiento mensual de rendimiento, eficiencia OEE y desperdicios</t>
  </si>
  <si>
    <t xml:space="preserve">📉 SUMAR — Control Estadístico (SPC)</t>
  </si>
  <si>
    <t xml:space="preserve">SUMAR_SPC</t>
  </si>
  <si>
    <t xml:space="preserve">Gráfico X-barra / R: estabilidad del proceso con límites de control</t>
  </si>
  <si>
    <t xml:space="preserve">📋 SUMAR — Reporte Ejecutivo</t>
  </si>
  <si>
    <t xml:space="preserve">SUMAR_Ejecutivo</t>
  </si>
  <si>
    <t xml:space="preserve">Resumen ejecutivo mensual para dirección general</t>
  </si>
  <si>
    <t xml:space="preserve">RESULTADOS DOCUMENTADOS</t>
  </si>
  <si>
    <t xml:space="preserve">▼ 33%</t>
  </si>
  <si>
    <t xml:space="preserve">▲ 28%</t>
  </si>
  <si>
    <t xml:space="preserve">◈ SPC</t>
  </si>
  <si>
    <t xml:space="preserve">≡ KPIs</t>
  </si>
  <si>
    <t xml:space="preserve">Reducción de merma total
(Palo Blanco 2024–2025)</t>
  </si>
  <si>
    <t xml:space="preserve">Incremento de productividad
(cajas/hora empacadas)</t>
  </si>
  <si>
    <t xml:space="preserve">Control estadístico implementado
(variabilidad reducida, 2013–2024)</t>
  </si>
  <si>
    <t xml:space="preserve">Dashboards ejecutivos diseñados
(visibilidad diaria de operaciones)</t>
  </si>
  <si>
    <t xml:space="preserve">Ingeniero Industrial (USAC)  ·  M.Sc. Estadística Aplicada (USAC)  ·  M.Sc. Gestión de Calidad (U. Galileo)  ·  HACCP Alliance  ·  FSMA QI</t>
  </si>
  <si>
    <t xml:space="preserve">🏭  PALO BLANCO S.A.  |  Dashboard Operativo — Empaque de Aguacate Fresco</t>
  </si>
  <si>
    <t xml:space="preserve">Exportación USA  ·  Agosto 2024 – Diciembre 2025  ·  Personal: 120 personas  ·  Actualización: Semanal</t>
  </si>
  <si>
    <t xml:space="preserve">PRODUCTIVIDAD</t>
  </si>
  <si>
    <t xml:space="preserve">MERMA TOTAL</t>
  </si>
  <si>
    <t xml:space="preserve">COSTO / KG</t>
  </si>
  <si>
    <t xml:space="preserve">CAJAS HOY</t>
  </si>
  <si>
    <t xml:space="preserve">KG EMPACADOS</t>
  </si>
  <si>
    <t xml:space="preserve">89.4 Caj/h</t>
  </si>
  <si>
    <t xml:space="preserve">4.2%</t>
  </si>
  <si>
    <t xml:space="preserve">Q 2.87</t>
  </si>
  <si>
    <t xml:space="preserve">2,840</t>
  </si>
  <si>
    <t xml:space="preserve">34,080 kg</t>
  </si>
  <si>
    <t xml:space="preserve">▲ +28% vs. base</t>
  </si>
  <si>
    <t xml:space="preserve">▼ -33% vs. base</t>
  </si>
  <si>
    <t xml:space="preserve">▼ -12% vs. base</t>
  </si>
  <si>
    <t xml:space="preserve">▲ Meta: 2,600</t>
  </si>
  <si>
    <t xml:space="preserve">Turno 8h</t>
  </si>
  <si>
    <t xml:space="preserve">  📊  DATOS SEMANALES — PRODUCTIVIDAD Y MERMAS</t>
  </si>
  <si>
    <t xml:space="preserve">SEMANA</t>
  </si>
  <si>
    <t xml:space="preserve">TURNO</t>
  </si>
  <si>
    <t xml:space="preserve">PERS.</t>
  </si>
  <si>
    <t xml:space="preserve">CAJAS
EMPAC.</t>
  </si>
  <si>
    <t xml:space="preserve">KG
TOTAL</t>
  </si>
  <si>
    <t xml:space="preserve">KG
MERMA</t>
  </si>
  <si>
    <t xml:space="preserve">%
MERMA</t>
  </si>
  <si>
    <t xml:space="preserve">COSTO/
KG (Q)</t>
  </si>
  <si>
    <t xml:space="preserve">PROD.
(Caj/h)</t>
  </si>
  <si>
    <t xml:space="preserve">CALIBRE
DOM.</t>
  </si>
  <si>
    <t xml:space="preserve">CALIDAD
%</t>
  </si>
  <si>
    <t xml:space="preserve">STATUS</t>
  </si>
  <si>
    <t xml:space="preserve">S01-2025</t>
  </si>
  <si>
    <t xml:space="preserve">Día</t>
  </si>
  <si>
    <t xml:space="preserve">Q 3.21</t>
  </si>
  <si>
    <t xml:space="preserve">48</t>
  </si>
  <si>
    <t xml:space="preserve">🔴 Revisión</t>
  </si>
  <si>
    <t xml:space="preserve">S02-2025</t>
  </si>
  <si>
    <t xml:space="preserve">Q 3.15</t>
  </si>
  <si>
    <t xml:space="preserve">48/56</t>
  </si>
  <si>
    <t xml:space="preserve">🟡 Normal</t>
  </si>
  <si>
    <t xml:space="preserve">S03-2025</t>
  </si>
  <si>
    <t xml:space="preserve">Q 3.09</t>
  </si>
  <si>
    <t xml:space="preserve">56</t>
  </si>
  <si>
    <t xml:space="preserve">S04-2025</t>
  </si>
  <si>
    <t xml:space="preserve">Noche</t>
  </si>
  <si>
    <t xml:space="preserve">Q 3.05</t>
  </si>
  <si>
    <t xml:space="preserve">S05-2025</t>
  </si>
  <si>
    <t xml:space="preserve">Q 2.99</t>
  </si>
  <si>
    <t xml:space="preserve">56/64</t>
  </si>
  <si>
    <t xml:space="preserve">S06-2025</t>
  </si>
  <si>
    <t xml:space="preserve">Q 2.95</t>
  </si>
  <si>
    <t xml:space="preserve">64</t>
  </si>
  <si>
    <t xml:space="preserve">S07-2025</t>
  </si>
  <si>
    <t xml:space="preserve">Q 2.93</t>
  </si>
  <si>
    <t xml:space="preserve">S08-2025</t>
  </si>
  <si>
    <t xml:space="preserve">Q 2.90</t>
  </si>
  <si>
    <t xml:space="preserve">S09-2025</t>
  </si>
  <si>
    <t xml:space="preserve">Q 2.88</t>
  </si>
  <si>
    <t xml:space="preserve">🟢 Óptimo</t>
  </si>
  <si>
    <t xml:space="preserve">S10-2025</t>
  </si>
  <si>
    <t xml:space="preserve">S11-2025</t>
  </si>
  <si>
    <t xml:space="preserve">S12-2025</t>
  </si>
  <si>
    <t xml:space="preserve">TOTALES / PROMEDIO</t>
  </si>
  <si>
    <t xml:space="preserve">  📈  TENDENCIA: PRODUCTIVIDAD SEMANAL (Cajas/hora)</t>
  </si>
  <si>
    <t xml:space="preserve">💰  PALO BLANCO S.A.  |  Modelo de Costos por Calibre — Aguacate Fresco para Exportación</t>
  </si>
  <si>
    <t xml:space="preserve">Análisis de rentabilidad por calibre  ·  Merma valorizada  ·  Costo real vs. costo estándar</t>
  </si>
  <si>
    <t xml:space="preserve">  ⚙️  DATOS</t>
  </si>
  <si>
    <t xml:space="preserve">Costo mano de obra / hora (Q):</t>
  </si>
  <si>
    <t xml:space="preserve">Horas turno:</t>
  </si>
  <si>
    <t xml:space="preserve">Personal por turno:</t>
  </si>
  <si>
    <t xml:space="preserve">Costo insumos / caja (Q):</t>
  </si>
  <si>
    <t xml:space="preserve">Costo logística / kg (Q):</t>
  </si>
  <si>
    <t xml:space="preserve">Costo frío / kg-día (Q):</t>
  </si>
  <si>
    <t xml:space="preserve">Precio de venta / kg promedio (Q):</t>
  </si>
  <si>
    <t xml:space="preserve">Merma máxima permitida %:</t>
  </si>
  <si>
    <t xml:space="preserve">  📊  MODELO DE COSTO POR CALIBRE Y RENTABILIDAD</t>
  </si>
  <si>
    <t xml:space="preserve">CALIBRE</t>
  </si>
  <si>
    <t xml:space="preserve">KG ENTRADA</t>
  </si>
  <si>
    <t xml:space="preserve">KG MERMA</t>
  </si>
  <si>
    <t xml:space="preserve">% MERMA</t>
  </si>
  <si>
    <t xml:space="preserve">KG NETO</t>
  </si>
  <si>
    <t xml:space="preserve">COSTO MO
/KG (Q)</t>
  </si>
  <si>
    <t xml:space="preserve">COSTO
INSUMOS</t>
  </si>
  <si>
    <t xml:space="preserve">COSTO
LOGÍST.</t>
  </si>
  <si>
    <t xml:space="preserve">COSTO
TOTAL/KG</t>
  </si>
  <si>
    <t xml:space="preserve">PRECIO
VENTA/KG</t>
  </si>
  <si>
    <t xml:space="preserve">MARGEN
BRUTO/KG</t>
  </si>
  <si>
    <t xml:space="preserve">MARGEN %</t>
  </si>
  <si>
    <t xml:space="preserve">Calibre 32 (XL)</t>
  </si>
  <si>
    <t xml:space="preserve">Calibre 40 (L+)</t>
  </si>
  <si>
    <t xml:space="preserve">Calibre 48 (L)</t>
  </si>
  <si>
    <t xml:space="preserve">Calibre 56 (M+)</t>
  </si>
  <si>
    <t xml:space="preserve">Calibre 64 (M)</t>
  </si>
  <si>
    <t xml:space="preserve">Calibre 70 (M-)</t>
  </si>
  <si>
    <t xml:space="preserve">Calibre 84+ (S)</t>
  </si>
  <si>
    <t xml:space="preserve">Rechazo/Descarte</t>
  </si>
  <si>
    <t xml:space="preserve">TOTAL / PROMEDIO PONDERADO</t>
  </si>
  <si>
    <t xml:space="preserve">📊  ALIMENTOS SUMAR S.A.  |  Reporte de KPIs — Frutas y Verduras Congeladas para Exportación</t>
  </si>
  <si>
    <t xml:space="preserve">Personal: 250+ personas  ·  Productos: Brócoli, ejote, zanahoria, mango, piña, mora  ·  Seguimiento mensual 2024</t>
  </si>
  <si>
    <t xml:space="preserve">  🏆  KPIs ANUALES 2024 — RESUMEN EJECUTIVO</t>
  </si>
  <si>
    <t xml:space="preserve">OEE PROMEDIO</t>
  </si>
  <si>
    <t xml:space="preserve">RENDIMIENTO</t>
  </si>
  <si>
    <t xml:space="preserve">MERMA PROCESO</t>
  </si>
  <si>
    <t xml:space="preserve">REPROCESOS</t>
  </si>
  <si>
    <t xml:space="preserve">CAJAS/H PROM.</t>
  </si>
  <si>
    <t xml:space="preserve">76.4%</t>
  </si>
  <si>
    <t xml:space="preserve">91.8%</t>
  </si>
  <si>
    <t xml:space="preserve">5.2%</t>
  </si>
  <si>
    <t xml:space="preserve">3.1%</t>
  </si>
  <si>
    <t xml:space="preserve">142.3</t>
  </si>
  <si>
    <t xml:space="preserve">▲ Meta: 75%</t>
  </si>
  <si>
    <t xml:space="preserve">▲ +2.1% vs 2023</t>
  </si>
  <si>
    <t xml:space="preserve">▼ -0.8% vs 2023</t>
  </si>
  <si>
    <t xml:space="preserve">▼ Meta: &lt;4%</t>
  </si>
  <si>
    <t xml:space="preserve">▲ +8.4% vs 2023</t>
  </si>
  <si>
    <t xml:space="preserve">  📋  KPIs MENSUALES 2024 — DETALLE POR MES</t>
  </si>
  <si>
    <t xml:space="preserve">MES</t>
  </si>
  <si>
    <t xml:space="preserve">KG
PROCES.</t>
  </si>
  <si>
    <t xml:space="preserve">% REND.</t>
  </si>
  <si>
    <t xml:space="preserve">% OEE</t>
  </si>
  <si>
    <t xml:space="preserve">CAJAS/H</t>
  </si>
  <si>
    <t xml:space="preserve">REPRO-
CESOS%</t>
  </si>
  <si>
    <t xml:space="preserve">PAROS
(h)</t>
  </si>
  <si>
    <t xml:space="preserve">EFIC.
EQ.%</t>
  </si>
  <si>
    <t xml:space="preserve">ESTADO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</si>
  <si>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</si>
  <si>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</si>
  <si>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</si>
  <si>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</si>
  <si>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</si>
  <si>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</si>
  <si>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</si>
  <si>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</si>
  <si>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</si>
  <si>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</si>
  <si>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</si>
  <si>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</si>
  <si>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/ PROMEDIO 2024</t>
  </si>
  <si>
    <t xml:space="preserve">  📈  TENDENCIAS: OEE Y RENDIMIENTO MENSUAL 2024</t>
  </si>
  <si>
    <t xml:space="preserve">📉  ALIMENTOS SUMAR S.A.  |  Control Estadístico de Proceso (SPC) — % Merma por Lote</t>
  </si>
  <si>
    <t xml:space="preserve">Gráfico X-barra / Rango — Proceso: Procesado de brócoli congelado  ·  Subgrupo: n=5 muestras por lote</t>
  </si>
  <si>
    <t xml:space="preserve">  ⚙️  PARÁMETROS DE CONTROL</t>
  </si>
  <si>
    <t xml:space="preserve">Proceso:</t>
  </si>
  <si>
    <t xml:space="preserve">Procesado brócoli congelado</t>
  </si>
  <si>
    <t xml:space="preserve">Variable:</t>
  </si>
  <si>
    <t xml:space="preserve">% de merma por lote</t>
  </si>
  <si>
    <t xml:space="preserve">Tamaño subgrupo (n):</t>
  </si>
  <si>
    <t xml:space="preserve">5 muestras</t>
  </si>
  <si>
    <t xml:space="preserve">Especificación superior:</t>
  </si>
  <si>
    <t xml:space="preserve">7.0%</t>
  </si>
  <si>
    <t xml:space="preserve">Especificación inferior:</t>
  </si>
  <si>
    <t xml:space="preserve">0.5%</t>
  </si>
  <si>
    <t xml:space="preserve">Nivel de confianza:</t>
  </si>
  <si>
    <t xml:space="preserve">99.73% (±3σ)</t>
  </si>
  <si>
    <t xml:space="preserve">  📊  DATOS SPC — MUESTRAS POR LOTE (% MERMA)  ·  Gráfico X-barra</t>
  </si>
  <si>
    <t xml:space="preserve">LOTE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</si>
  <si>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</si>
  <si>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</si>
  <si>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</si>
  <si>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</si>
  <si>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</si>
  <si>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X-BARRA</t>
  </si>
  <si>
    <t xml:space="preserve">RANGO R</t>
  </si>
  <si>
    <t xml:space="preserve">UCL
(X̄)</t>
  </si>
  <si>
    <t xml:space="preserve">LCL
(X̄)</t>
  </si>
  <si>
    <t xml:space="preserve">UCL
(R)</t>
  </si>
  <si>
    <t xml:space="preserve">ESTATUS</t>
  </si>
  <si>
    <t xml:space="preserve">L-2024-001</t>
  </si>
  <si>
    <t xml:space="preserve">🔴 Fuera</t>
  </si>
  <si>
    <t xml:space="preserve">L-2024-002</t>
  </si>
  <si>
    <t xml:space="preserve">L-2024-003</t>
  </si>
  <si>
    <t xml:space="preserve">L-2024-004</t>
  </si>
  <si>
    <t xml:space="preserve">L-2024-005</t>
  </si>
  <si>
    <t xml:space="preserve">🟢 Control</t>
  </si>
  <si>
    <t xml:space="preserve">L-2024-006</t>
  </si>
  <si>
    <t xml:space="preserve">L-2024-007</t>
  </si>
  <si>
    <t xml:space="preserve">L-2024-008</t>
  </si>
  <si>
    <t xml:space="preserve">L-2024-009</t>
  </si>
  <si>
    <t xml:space="preserve">L-2024-010</t>
  </si>
  <si>
    <t xml:space="preserve">L-2024-011</t>
  </si>
  <si>
    <t xml:space="preserve">L-2024-012</t>
  </si>
  <si>
    <t xml:space="preserve">L-2024-013</t>
  </si>
  <si>
    <t xml:space="preserve">L-2024-014</t>
  </si>
  <si>
    <t xml:space="preserve">L-2024-015</t>
  </si>
  <si>
    <t xml:space="preserve">L-2024-016</t>
  </si>
  <si>
    <t xml:space="preserve">L-2024-017</t>
  </si>
  <si>
    <t xml:space="preserve">L-2024-018</t>
  </si>
  <si>
    <t xml:space="preserve">L-2024-019</t>
  </si>
  <si>
    <t xml:space="preserve">L-2024-020</t>
  </si>
  <si>
    <t xml:space="preserve">L-2024-021</t>
  </si>
  <si>
    <t xml:space="preserve">L-2024-022</t>
  </si>
  <si>
    <t xml:space="preserve">L-2024-023</t>
  </si>
  <si>
    <t xml:space="preserve">L-2024-024</t>
  </si>
  <si>
    <t xml:space="preserve">L-2024-025</t>
  </si>
  <si>
    <t xml:space="preserve">ESTADÍSTICOS</t>
  </si>
  <si>
    <t xml:space="preserve">  📈  GRÁFICO SPC: X-BARRA — % Merma por Lote  (Líneas rojas = Límites de Control UCL/LCL)</t>
  </si>
  <si>
    <t xml:space="preserve">ALIMENTOS SUMAR S.A.</t>
  </si>
  <si>
    <t xml:space="preserve">REPORTE EJECUTIVO DE PRODUCCIÓN — DICIEMBRE 2024</t>
  </si>
  <si>
    <t xml:space="preserve">Jefe de Producción: Francisco Rolando García   ·   Frutas y Verduras Congeladas para Exportación</t>
  </si>
  <si>
    <t xml:space="preserve">KG PROCESADOS</t>
  </si>
  <si>
    <t xml:space="preserve">OEE DICIEMBRE</t>
  </si>
  <si>
    <t xml:space="preserve">PAROS (h)</t>
  </si>
  <si>
    <t xml:space="preserve">CAJAS/HORA</t>
  </si>
  <si>
    <t xml:space="preserve">561,000 kg</t>
  </si>
  <si>
    <t xml:space="preserve">78.1%</t>
  </si>
  <si>
    <t xml:space="preserve">4.85%</t>
  </si>
  <si>
    <t xml:space="preserve">2.8%</t>
  </si>
  <si>
    <t xml:space="preserve">9.8 h</t>
  </si>
  <si>
    <t xml:space="preserve">148.9</t>
  </si>
  <si>
    <t xml:space="preserve">▲ +2.4% vs Nov</t>
  </si>
  <si>
    <t xml:space="preserve">▲ Meta cumplida: 75%</t>
  </si>
  <si>
    <t xml:space="preserve">▼ Mínimo histórico 2024</t>
  </si>
  <si>
    <t xml:space="preserve">▼ -0.3% vs Nov</t>
  </si>
  <si>
    <t xml:space="preserve">▼ -0.3h vs Nov</t>
  </si>
  <si>
    <t xml:space="preserve">▲ Máximo mensual 2024</t>
  </si>
  <si>
    <t xml:space="preserve">  🏆  LOGROS PRINCIPALES DEL MES</t>
  </si>
  <si>
    <t xml:space="preserve">Merma</t>
  </si>
  <si>
    <t xml:space="preserve">4.85% — mínimo histórico 2024. Reducción acumulada anual: -0.95pp vs. Diciembre 2023. Meta 2024 (&lt;5.5%) SUPERADA.</t>
  </si>
  <si>
    <t xml:space="preserve">OEE</t>
  </si>
  <si>
    <t xml:space="preserve">78.1% — por encima de la meta mensual (75%) por sexto mes consecutivo. Contribuyó el trabajo de reducción de paros no programados.</t>
  </si>
  <si>
    <t xml:space="preserve">Productividad</t>
  </si>
  <si>
    <t xml:space="preserve">148.9 cajas/hora — máximo mensual del año. Mejora sostenida por estandarización de procesos y rutinas Kaizen implementadas en Q3 2024.</t>
  </si>
  <si>
    <t xml:space="preserve">Calidad</t>
  </si>
  <si>
    <t xml:space="preserve">97.7% índice de calidad de producto. Cero rechazos de cliente externo en el mes. Cumplimiento FSMA y HACCP verificado.</t>
  </si>
  <si>
    <t xml:space="preserve">Paros</t>
  </si>
  <si>
    <t xml:space="preserve">9.8 horas de paro — reducción del 30% vs. Enero 2024 (14.2h). Resultado del plan de mantenimiento preventivo y protocolos 5S.</t>
  </si>
  <si>
    <t xml:space="preserve">  📊  COMPARATIVO ANUAL: 2023 vs. 2024</t>
  </si>
  <si>
    <t xml:space="preserve">INDICADOR</t>
  </si>
  <si>
    <t xml:space="preserve">2023 REAL</t>
  </si>
  <si>
    <t xml:space="preserve">2024 REAL</t>
  </si>
  <si>
    <t xml:space="preserve">VARIACIÓN</t>
  </si>
  <si>
    <t xml:space="preserve">VARIACIÓN %</t>
  </si>
  <si>
    <t xml:space="preserve">EVALUACIÓN</t>
  </si>
  <si>
    <t xml:space="preserve">OEE promedio anual</t>
  </si>
  <si>
    <t xml:space="preserve">73.8%</t>
  </si>
  <si>
    <t xml:space="preserve">+2.6pp</t>
  </si>
  <si>
    <t xml:space="preserve">+3.5%</t>
  </si>
  <si>
    <t xml:space="preserve">🟢 Mejora</t>
  </si>
  <si>
    <t xml:space="preserve">% Merma promedio</t>
  </si>
  <si>
    <t xml:space="preserve">6.07%</t>
  </si>
  <si>
    <t xml:space="preserve">5.20%</t>
  </si>
  <si>
    <t xml:space="preserve">-0.87pp</t>
  </si>
  <si>
    <t xml:space="preserve">-14.3%</t>
  </si>
  <si>
    <t xml:space="preserve">Cajas/hora promedio</t>
  </si>
  <si>
    <t xml:space="preserve">131.3</t>
  </si>
  <si>
    <t xml:space="preserve">+11.0</t>
  </si>
  <si>
    <t xml:space="preserve">+8.4%</t>
  </si>
  <si>
    <t xml:space="preserve">% Reprocesos promedio</t>
  </si>
  <si>
    <t xml:space="preserve">-1.1pp</t>
  </si>
  <si>
    <t xml:space="preserve">-26.2%</t>
  </si>
  <si>
    <t xml:space="preserve">Paros promedio (h/mes)</t>
  </si>
  <si>
    <t xml:space="preserve">13.8h</t>
  </si>
  <si>
    <t xml:space="preserve">11.4h</t>
  </si>
  <si>
    <t xml:space="preserve">-2.4h</t>
  </si>
  <si>
    <t xml:space="preserve">-17.4%</t>
  </si>
  <si>
    <t xml:space="preserve">Rendimiento proceso</t>
  </si>
  <si>
    <t xml:space="preserve">89.7%</t>
  </si>
  <si>
    <t xml:space="preserve">+2.1pp</t>
  </si>
  <si>
    <t xml:space="preserve">+2.3%</t>
  </si>
  <si>
    <t xml:space="preserve">  📌  ACCIONES PENDIENTES Q1 2025</t>
  </si>
  <si>
    <t xml:space="preserve">Alta</t>
  </si>
  <si>
    <t xml:space="preserve">Implementar sistema de pesaje automatizado en línea 3 para reducir merma manual</t>
  </si>
  <si>
    <t xml:space="preserve">Media</t>
  </si>
  <si>
    <t xml:space="preserve">Completar capacitación Kaizen en turno nocturno (pendiente 40% del personal)</t>
  </si>
  <si>
    <t xml:space="preserve">Actualizar hojas de ruta de proceso para brócoli premium (nueva especificación cliente USA)</t>
  </si>
  <si>
    <t xml:space="preserve">Baja</t>
  </si>
  <si>
    <t xml:space="preserve">Revisión de contratos de mantenimiento preventivo — vencimiento Marzo 2025</t>
  </si>
  <si>
    <t xml:space="preserve">Elaborado por: Francisco Rolando García  ·  Ing. Industrial (USAC)  ·  M.Sc. Estadística Aplicada  ·  M.Sc. Gestión de Calidad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</si>
</sst>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"/>
    <numFmt numFmtId="168" formatCode="0"/>
    <numFmt numFmtId="169" formatCode="0.00%"/>
    <numFmt numFmtId="170" formatCode="0%"/>
    <numFmt numFmtId="171" formatCode="0.000%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1"/>
      <color rgb="FFBFD9E6"/>
      <name val="Arial"/>
      <family val="0"/>
      <charset val="1"/>
    </font>
    <font>
      <i val="true"/>
      <sz val="10"/>
      <color rgb="FF9BC4D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22"/>
      <color rgb="FF991B1B"/>
      <name val="Arial"/>
      <family val="0"/>
      <charset val="1"/>
    </font>
    <font>
      <b val="true"/>
      <sz val="22"/>
      <color rgb="FF166534"/>
      <name val="Arial"/>
      <family val="0"/>
      <charset val="1"/>
    </font>
    <font>
      <b val="true"/>
      <sz val="22"/>
      <color rgb="FF0E7490"/>
      <name val="Arial"/>
      <family val="0"/>
      <charset val="1"/>
    </font>
    <font>
      <b val="true"/>
      <sz val="22"/>
      <color rgb="FF92400E"/>
      <name val="Arial"/>
      <family val="0"/>
      <charset val="1"/>
    </font>
    <font>
      <sz val="9"/>
      <color rgb="FF374151"/>
      <name val="Arial"/>
      <family val="0"/>
      <charset val="1"/>
    </font>
    <font>
      <i val="true"/>
      <sz val="9"/>
      <color rgb="FF9CA3A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BFD9E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i val="true"/>
      <sz val="8"/>
      <color rgb="FF0E749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991B1B"/>
      <name val="Arial"/>
      <family val="0"/>
      <charset val="1"/>
    </font>
    <font>
      <sz val="9"/>
      <color rgb="FF92400E"/>
      <name val="Arial"/>
      <family val="0"/>
      <charset val="1"/>
    </font>
    <font>
      <sz val="9"/>
      <color rgb="FF166534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b val="true"/>
      <sz val="9"/>
      <color rgb="FF1B3A5C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b val="true"/>
      <sz val="12"/>
      <color rgb="FFBFD9E6"/>
      <name val="Arial"/>
      <family val="0"/>
      <charset val="1"/>
    </font>
    <font>
      <i val="true"/>
      <sz val="9"/>
      <color rgb="FF9BC4D9"/>
      <name val="Arial"/>
      <family val="0"/>
      <charset val="1"/>
    </font>
    <font>
      <b val="true"/>
      <sz val="13"/>
      <color rgb="FF1B3A5C"/>
      <name val="Arial"/>
      <family val="0"/>
      <charset val="1"/>
    </font>
    <font>
      <b val="true"/>
      <sz val="13"/>
      <color rgb="FF166534"/>
      <name val="Arial"/>
      <family val="0"/>
      <charset val="1"/>
    </font>
    <font>
      <b val="true"/>
      <sz val="13"/>
      <color rgb="FF92400E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166534"/>
      <name val="Arial"/>
      <family val="0"/>
      <charset val="1"/>
    </font>
    <font>
      <i val="true"/>
      <sz val="8"/>
      <color rgb="FF9CA3A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374151"/>
      </patternFill>
    </fill>
    <fill>
      <patternFill patternType="solid">
        <fgColor rgb="FF0E7490"/>
        <bgColor rgb="FF008080"/>
      </patternFill>
    </fill>
    <fill>
      <patternFill patternType="solid">
        <fgColor rgb="FF374151"/>
        <bgColor rgb="FF1B3A5C"/>
      </patternFill>
    </fill>
    <fill>
      <patternFill patternType="solid">
        <fgColor rgb="FFFFFFFF"/>
        <bgColor rgb="FFF9F9F9"/>
      </patternFill>
    </fill>
    <fill>
      <patternFill patternType="solid">
        <fgColor rgb="FFF3F4F6"/>
        <bgColor rgb="FFF9F9F9"/>
      </patternFill>
    </fill>
    <fill>
      <patternFill patternType="solid">
        <fgColor rgb="FF166534"/>
        <bgColor rgb="FF0E7490"/>
      </patternFill>
    </fill>
    <fill>
      <patternFill patternType="solid">
        <fgColor rgb="FFFEE2E2"/>
        <bgColor rgb="FFFEF3C7"/>
      </patternFill>
    </fill>
    <fill>
      <patternFill patternType="solid">
        <fgColor rgb="FFDCFCE7"/>
        <bgColor rgb="FFE8F4F8"/>
      </patternFill>
    </fill>
    <fill>
      <patternFill patternType="solid">
        <fgColor rgb="FFE8F4F8"/>
        <bgColor rgb="FFF3F4F6"/>
      </patternFill>
    </fill>
    <fill>
      <patternFill patternType="solid">
        <fgColor rgb="FFFEF3C7"/>
        <bgColor rgb="FFFEE2E2"/>
      </patternFill>
    </fill>
    <fill>
      <patternFill patternType="solid">
        <fgColor rgb="FF92400E"/>
        <bgColor rgb="FF991B1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2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E7490"/>
      <rgbColor rgb="FFBFD9E6"/>
      <rgbColor rgb="FF878787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8"/>
      <rgbColor rgb="FFF3F4F6"/>
      <rgbColor rgb="FFF9F9F9"/>
      <rgbColor rgb="FF9BC4D9"/>
      <rgbColor rgb="FFFF99CC"/>
      <rgbColor rgb="FFD9D9D9"/>
      <rgbColor rgb="FFFEE2E2"/>
      <rgbColor rgb="FF3366FF"/>
      <rgbColor rgb="FF33CCCC"/>
      <rgbColor rgb="FF99CC00"/>
      <rgbColor rgb="FFFFCC00"/>
      <rgbColor rgb="FFFF9900"/>
      <rgbColor rgb="FFEA580C"/>
      <rgbColor rgb="FF666699"/>
      <rgbColor rgb="FF9CA3AF"/>
      <rgbColor rgb="FF1B3A5C"/>
      <rgbColor rgb="FF339966"/>
      <rgbColor rgb="FF003300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PB_Dashboard!J10</c:f>
              <c:strCache>
                <c:ptCount val="1"/>
                <c:pt idx="0">
                  <c:v>PROD.
(Caj/h)</c:v>
                </c:pt>
              </c:strCache>
            </c:strRef>
          </c:tx>
          <c:spPr>
            <a:solidFill>
              <a:srgbClr val="0e7490"/>
            </a:solidFill>
            <a:ln w="20160">
              <a:solidFill>
                <a:srgbClr val="0e74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PB_Dashboard!$B$11:$B$22</c:f>
              <c:strCache>
                <c:ptCount val="12"/>
                <c:pt idx="0">
                  <c:v>S01-2025</c:v>
                </c:pt>
                <c:pt idx="1">
                  <c:v>S02-2025</c:v>
                </c:pt>
                <c:pt idx="2">
                  <c:v>S03-2025</c:v>
                </c:pt>
                <c:pt idx="3">
                  <c:v>S04-2025</c:v>
                </c:pt>
                <c:pt idx="4">
                  <c:v>S05-2025</c:v>
                </c:pt>
                <c:pt idx="5">
                  <c:v>S06-2025</c:v>
                </c:pt>
                <c:pt idx="6">
                  <c:v>S07-2025</c:v>
                </c:pt>
                <c:pt idx="7">
                  <c:v>S08-2025</c:v>
                </c:pt>
                <c:pt idx="8">
                  <c:v>S09-2025</c:v>
                </c:pt>
                <c:pt idx="9">
                  <c:v>S10-2025</c:v>
                </c:pt>
                <c:pt idx="10">
                  <c:v>S11-2025</c:v>
                </c:pt>
                <c:pt idx="11">
                  <c:v>S12-2025</c:v>
                </c:pt>
              </c:strCache>
            </c:strRef>
          </c:cat>
          <c:val>
            <c:numRef>
              <c:f>PB_Dashboard!$J$11:$J$22</c:f>
              <c:numCache>
                <c:formatCode>0.0</c:formatCode>
                <c:ptCount val="12"/>
                <c:pt idx="0">
                  <c:v>69.7</c:v>
                </c:pt>
                <c:pt idx="1">
                  <c:v>71.8</c:v>
                </c:pt>
                <c:pt idx="2">
                  <c:v>73.4</c:v>
                </c:pt>
                <c:pt idx="3">
                  <c:v>70.2</c:v>
                </c:pt>
                <c:pt idx="4">
                  <c:v>74.9</c:v>
                </c:pt>
                <c:pt idx="5">
                  <c:v>76.2</c:v>
                </c:pt>
                <c:pt idx="6">
                  <c:v>78.1</c:v>
                </c:pt>
                <c:pt idx="7">
                  <c:v>75.6</c:v>
                </c:pt>
                <c:pt idx="8">
                  <c:v>80.3</c:v>
                </c:pt>
                <c:pt idx="9">
                  <c:v>82.1</c:v>
                </c:pt>
                <c:pt idx="10">
                  <c:v>84</c:v>
                </c:pt>
                <c:pt idx="11">
                  <c:v>89.4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312577"/>
        <c:axId val="70559018"/>
      </c:lineChart>
      <c:catAx>
        <c:axId val="333125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59018"/>
        <c:crosses val="autoZero"/>
        <c:auto val="1"/>
        <c:lblAlgn val="ctr"/>
        <c:lblOffset val="100"/>
        <c:noMultiLvlLbl val="0"/>
      </c:catAx>
      <c:valAx>
        <c:axId val="70559018"/>
        <c:scaling>
          <c:orientation val="minMax"/>
          <c:max val="95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Cajas/hora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12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PB_Dashboard!H10</c:f>
              <c:strCache>
                <c:ptCount val="1"/>
                <c:pt idx="0">
                  <c:v>%
MERMA</c:v>
                </c:pt>
              </c:strCache>
            </c:strRef>
          </c:tx>
          <c:spPr>
            <a:solidFill>
              <a:srgbClr val="ea580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PB_Dashboard!$B$11:$B$22</c:f>
              <c:strCache>
                <c:ptCount val="12"/>
                <c:pt idx="0">
                  <c:v>S01-2025</c:v>
                </c:pt>
                <c:pt idx="1">
                  <c:v>S02-2025</c:v>
                </c:pt>
                <c:pt idx="2">
                  <c:v>S03-2025</c:v>
                </c:pt>
                <c:pt idx="3">
                  <c:v>S04-2025</c:v>
                </c:pt>
                <c:pt idx="4">
                  <c:v>S05-2025</c:v>
                </c:pt>
                <c:pt idx="5">
                  <c:v>S06-2025</c:v>
                </c:pt>
                <c:pt idx="6">
                  <c:v>S07-2025</c:v>
                </c:pt>
                <c:pt idx="7">
                  <c:v>S08-2025</c:v>
                </c:pt>
                <c:pt idx="8">
                  <c:v>S09-2025</c:v>
                </c:pt>
                <c:pt idx="9">
                  <c:v>S10-2025</c:v>
                </c:pt>
                <c:pt idx="10">
                  <c:v>S11-2025</c:v>
                </c:pt>
                <c:pt idx="11">
                  <c:v>S12-2025</c:v>
                </c:pt>
              </c:strCache>
            </c:strRef>
          </c:cat>
          <c:val>
            <c:numRef>
              <c:f>PB_Dashboard!$H$11:$H$22</c:f>
              <c:numCache>
                <c:formatCode>0.0%</c:formatCode>
                <c:ptCount val="12"/>
                <c:pt idx="0">
                  <c:v>0.06996336996337</c:v>
                </c:pt>
                <c:pt idx="1">
                  <c:v>0.064017094017094</c:v>
                </c:pt>
                <c:pt idx="2">
                  <c:v>0.0580128205128205</c:v>
                </c:pt>
                <c:pt idx="3">
                  <c:v>0.0660037878787879</c:v>
                </c:pt>
                <c:pt idx="4">
                  <c:v>0.0520075757575758</c:v>
                </c:pt>
                <c:pt idx="5">
                  <c:v>0.048953823953824</c:v>
                </c:pt>
                <c:pt idx="6">
                  <c:v>0.0449596774193548</c:v>
                </c:pt>
                <c:pt idx="7">
                  <c:v>0.05</c:v>
                </c:pt>
                <c:pt idx="8">
                  <c:v>0.040990990990991</c:v>
                </c:pt>
                <c:pt idx="9">
                  <c:v>0.0389925373134328</c:v>
                </c:pt>
                <c:pt idx="10">
                  <c:v>0.038</c:v>
                </c:pt>
                <c:pt idx="11">
                  <c:v>0.0361208920187793</c:v>
                </c:pt>
              </c:numCache>
            </c:numRef>
          </c:val>
        </c:ser>
        <c:gapWidth val="150"/>
        <c:overlap val="0"/>
        <c:axId val="11492153"/>
        <c:axId val="3030012"/>
      </c:barChart>
      <c:catAx>
        <c:axId val="114921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0012"/>
        <c:crosses val="autoZero"/>
        <c:auto val="1"/>
        <c:lblAlgn val="ctr"/>
        <c:lblOffset val="100"/>
        <c:noMultiLvlLbl val="0"/>
      </c:catAx>
      <c:valAx>
        <c:axId val="30300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Merma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92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SUMAR_KPIs!G11</c:f>
              <c:strCache>
                <c:ptCount val="1"/>
                <c:pt idx="0">
                  <c:v>% OEE</c:v>
                </c:pt>
              </c:strCache>
            </c:strRef>
          </c:tx>
          <c:spPr>
            <a:solidFill>
              <a:srgbClr val="0e7490"/>
            </a:solidFill>
            <a:ln w="47520">
              <a:solidFill>
                <a:srgbClr val="0e74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SUMAR_KPIs!$B$12:$B$23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SUMAR_KPIs!$G$12:$G$23</c:f>
              <c:numCache>
                <c:formatCode>0.0%</c:formatCode>
                <c:ptCount val="12"/>
                <c:pt idx="0">
                  <c:v>0.722</c:v>
                </c:pt>
                <c:pt idx="1">
                  <c:v>0.731</c:v>
                </c:pt>
                <c:pt idx="2">
                  <c:v>0.738</c:v>
                </c:pt>
                <c:pt idx="3">
                  <c:v>0.741</c:v>
                </c:pt>
                <c:pt idx="4">
                  <c:v>0.748</c:v>
                </c:pt>
                <c:pt idx="5">
                  <c:v>0.754</c:v>
                </c:pt>
                <c:pt idx="6">
                  <c:v>0.758</c:v>
                </c:pt>
                <c:pt idx="7">
                  <c:v>0.762</c:v>
                </c:pt>
                <c:pt idx="8">
                  <c:v>0.768</c:v>
                </c:pt>
                <c:pt idx="9">
                  <c:v>0.774</c:v>
                </c:pt>
                <c:pt idx="10">
                  <c:v>0.778</c:v>
                </c:pt>
                <c:pt idx="11">
                  <c:v>0.781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SUMAR_KPIs!H11</c:f>
              <c:strCache>
                <c:ptCount val="1"/>
                <c:pt idx="0">
                  <c:v>CAJAS/H</c:v>
                </c:pt>
              </c:strCache>
            </c:strRef>
          </c:tx>
          <c:spPr>
            <a:solidFill>
              <a:srgbClr val="1b3a5c"/>
            </a:solidFill>
            <a:ln w="47520">
              <a:solidFill>
                <a:srgbClr val="1b3a5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SUMAR_KPIs!$B$12:$B$23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SUMAR_KPIs!$H$12:$H$23</c:f>
              <c:numCache>
                <c:formatCode>0.0</c:formatCode>
                <c:ptCount val="12"/>
                <c:pt idx="0">
                  <c:v>128.4</c:v>
                </c:pt>
                <c:pt idx="1">
                  <c:v>131.8</c:v>
                </c:pt>
                <c:pt idx="2">
                  <c:v>134.2</c:v>
                </c:pt>
                <c:pt idx="3">
                  <c:v>133.6</c:v>
                </c:pt>
                <c:pt idx="4">
                  <c:v>136.1</c:v>
                </c:pt>
                <c:pt idx="5">
                  <c:v>138.4</c:v>
                </c:pt>
                <c:pt idx="6">
                  <c:v>140.2</c:v>
                </c:pt>
                <c:pt idx="7">
                  <c:v>141.8</c:v>
                </c:pt>
                <c:pt idx="8">
                  <c:v>143.6</c:v>
                </c:pt>
                <c:pt idx="9">
                  <c:v>145.1</c:v>
                </c:pt>
                <c:pt idx="10">
                  <c:v>146.3</c:v>
                </c:pt>
                <c:pt idx="11">
                  <c:v>148.9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541920"/>
        <c:axId val="33438791"/>
      </c:lineChart>
      <c:catAx>
        <c:axId val="67541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38791"/>
        <c:crosses val="autoZero"/>
        <c:auto val="1"/>
        <c:lblAlgn val="ctr"/>
        <c:lblOffset val="100"/>
        <c:noMultiLvlLbl val="0"/>
      </c:catAx>
      <c:valAx>
        <c:axId val="33438791"/>
        <c:scaling>
          <c:orientation val="minMax"/>
          <c:max val="0.95"/>
          <c:min val="0.6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41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Gráfico X-barra — % Merma por Lote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SUMAR_SPC!H14</c:f>
              <c:strCache>
                <c:ptCount val="1"/>
                <c:pt idx="0">
                  <c:v>X-BARRA</c:v>
                </c:pt>
              </c:strCache>
            </c:strRef>
          </c:tx>
          <c:spPr>
            <a:solidFill>
              <a:srgbClr val="0e7490"/>
            </a:solidFill>
            <a:ln w="18000">
              <a:solidFill>
                <a:srgbClr val="0e74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SUMAR_SPC!$H$15:$H$39</c:f>
              <c:numCache>
                <c:formatCode>0.000%</c:formatCode>
                <c:ptCount val="25"/>
                <c:pt idx="0">
                  <c:v>0.052116</c:v>
                </c:pt>
                <c:pt idx="1">
                  <c:v>0.050172</c:v>
                </c:pt>
                <c:pt idx="2">
                  <c:v>0.05194</c:v>
                </c:pt>
                <c:pt idx="3">
                  <c:v>0.050582</c:v>
                </c:pt>
                <c:pt idx="4">
                  <c:v>0.049704</c:v>
                </c:pt>
                <c:pt idx="5">
                  <c:v>0.049044</c:v>
                </c:pt>
                <c:pt idx="6">
                  <c:v>0.044328</c:v>
                </c:pt>
                <c:pt idx="7">
                  <c:v>0.047932</c:v>
                </c:pt>
                <c:pt idx="8">
                  <c:v>0.048152</c:v>
                </c:pt>
                <c:pt idx="9">
                  <c:v>0.046706</c:v>
                </c:pt>
                <c:pt idx="10">
                  <c:v>0.047036</c:v>
                </c:pt>
                <c:pt idx="11">
                  <c:v>0.047344</c:v>
                </c:pt>
                <c:pt idx="12">
                  <c:v>0.045064</c:v>
                </c:pt>
                <c:pt idx="13">
                  <c:v>0.0436</c:v>
                </c:pt>
                <c:pt idx="14">
                  <c:v>0.04548</c:v>
                </c:pt>
                <c:pt idx="15">
                  <c:v>0.043186</c:v>
                </c:pt>
                <c:pt idx="16">
                  <c:v>0.038794</c:v>
                </c:pt>
                <c:pt idx="17">
                  <c:v>0.043416</c:v>
                </c:pt>
                <c:pt idx="18">
                  <c:v>0.042914</c:v>
                </c:pt>
                <c:pt idx="19">
                  <c:v>0.043136</c:v>
                </c:pt>
                <c:pt idx="20">
                  <c:v>0.03993</c:v>
                </c:pt>
                <c:pt idx="21">
                  <c:v>0.040412</c:v>
                </c:pt>
                <c:pt idx="22">
                  <c:v>0.03968</c:v>
                </c:pt>
                <c:pt idx="23">
                  <c:v>0.037456</c:v>
                </c:pt>
                <c:pt idx="24">
                  <c:v>0.0366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SUMAR_SPC!I14</c:f>
              <c:strCache>
                <c:ptCount val="1"/>
                <c:pt idx="0">
                  <c:v>RANGO R</c:v>
                </c:pt>
              </c:strCache>
            </c:strRef>
          </c:tx>
          <c:spPr>
            <a:solidFill>
              <a:srgbClr val="991b1b"/>
            </a:solidFill>
            <a:ln w="14040">
              <a:solidFill>
                <a:srgbClr val="991b1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SUMAR_SPC!$I$15:$I$39</c:f>
              <c:numCache>
                <c:formatCode>0.000%</c:formatCode>
                <c:ptCount val="25"/>
                <c:pt idx="0">
                  <c:v>0.0035</c:v>
                </c:pt>
                <c:pt idx="1">
                  <c:v>0.00732</c:v>
                </c:pt>
                <c:pt idx="2">
                  <c:v>0.0076</c:v>
                </c:pt>
                <c:pt idx="3">
                  <c:v>0.0093</c:v>
                </c:pt>
                <c:pt idx="4">
                  <c:v>0.0093</c:v>
                </c:pt>
                <c:pt idx="5">
                  <c:v>0.00758</c:v>
                </c:pt>
                <c:pt idx="6">
                  <c:v>0.01275</c:v>
                </c:pt>
                <c:pt idx="7">
                  <c:v>0.00838</c:v>
                </c:pt>
                <c:pt idx="8">
                  <c:v>0.00445</c:v>
                </c:pt>
                <c:pt idx="9">
                  <c:v>0.00547</c:v>
                </c:pt>
                <c:pt idx="10">
                  <c:v>0.01262</c:v>
                </c:pt>
                <c:pt idx="11">
                  <c:v>0.01009</c:v>
                </c:pt>
                <c:pt idx="12">
                  <c:v>0.0114</c:v>
                </c:pt>
                <c:pt idx="13">
                  <c:v>0.00866</c:v>
                </c:pt>
                <c:pt idx="14">
                  <c:v>0.01173</c:v>
                </c:pt>
                <c:pt idx="15">
                  <c:v>0.00714</c:v>
                </c:pt>
                <c:pt idx="16">
                  <c:v>0.0062</c:v>
                </c:pt>
                <c:pt idx="17">
                  <c:v>0.00484</c:v>
                </c:pt>
                <c:pt idx="18">
                  <c:v>0.00838</c:v>
                </c:pt>
                <c:pt idx="19">
                  <c:v>0.00925</c:v>
                </c:pt>
                <c:pt idx="20">
                  <c:v>0.01088</c:v>
                </c:pt>
                <c:pt idx="21">
                  <c:v>0.01519</c:v>
                </c:pt>
                <c:pt idx="22">
                  <c:v>0.00941</c:v>
                </c:pt>
                <c:pt idx="23">
                  <c:v>0.00967</c:v>
                </c:pt>
                <c:pt idx="24">
                  <c:v>0.00851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SUMAR_SPC!J14</c:f>
              <c:strCache>
                <c:ptCount val="1"/>
                <c:pt idx="0">
                  <c:v>UCL
(X̄)</c:v>
                </c:pt>
              </c:strCache>
            </c:strRef>
          </c:tx>
          <c:spPr>
            <a:solidFill>
              <a:srgbClr val="991b1b"/>
            </a:solidFill>
            <a:ln w="14040">
              <a:solidFill>
                <a:srgbClr val="991b1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SUMAR_SPC!$J$15:$J$39</c:f>
              <c:numCache>
                <c:formatCode>0.000%</c:formatCode>
                <c:ptCount val="25"/>
                <c:pt idx="0">
                  <c:v>0.0500577896</c:v>
                </c:pt>
                <c:pt idx="1">
                  <c:v>0.0500577896</c:v>
                </c:pt>
                <c:pt idx="2">
                  <c:v>0.0500577896</c:v>
                </c:pt>
                <c:pt idx="3">
                  <c:v>0.0500577896</c:v>
                </c:pt>
                <c:pt idx="4">
                  <c:v>0.0500577896</c:v>
                </c:pt>
                <c:pt idx="5">
                  <c:v>0.0500577896</c:v>
                </c:pt>
                <c:pt idx="6">
                  <c:v>0.0500577896</c:v>
                </c:pt>
                <c:pt idx="7">
                  <c:v>0.0500577896</c:v>
                </c:pt>
                <c:pt idx="8">
                  <c:v>0.0500577896</c:v>
                </c:pt>
                <c:pt idx="9">
                  <c:v>0.0500577896</c:v>
                </c:pt>
                <c:pt idx="10">
                  <c:v>0.0500577896</c:v>
                </c:pt>
                <c:pt idx="11">
                  <c:v>0.0500577896</c:v>
                </c:pt>
                <c:pt idx="12">
                  <c:v>0.0500577896</c:v>
                </c:pt>
                <c:pt idx="13">
                  <c:v>0.0500577896</c:v>
                </c:pt>
                <c:pt idx="14">
                  <c:v>0.0500577896</c:v>
                </c:pt>
                <c:pt idx="15">
                  <c:v>0.0500577896</c:v>
                </c:pt>
                <c:pt idx="16">
                  <c:v>0.0500577896</c:v>
                </c:pt>
                <c:pt idx="17">
                  <c:v>0.0500577896</c:v>
                </c:pt>
                <c:pt idx="18">
                  <c:v>0.0500577896</c:v>
                </c:pt>
                <c:pt idx="19">
                  <c:v>0.0500577896</c:v>
                </c:pt>
                <c:pt idx="20">
                  <c:v>0.0500577896</c:v>
                </c:pt>
                <c:pt idx="21">
                  <c:v>0.0500577896</c:v>
                </c:pt>
                <c:pt idx="22">
                  <c:v>0.0500577896</c:v>
                </c:pt>
                <c:pt idx="23">
                  <c:v>0.0500577896</c:v>
                </c:pt>
                <c:pt idx="24">
                  <c:v>0.0500577896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820055"/>
        <c:axId val="60455249"/>
      </c:lineChart>
      <c:catAx>
        <c:axId val="688200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55249"/>
        <c:crosses val="autoZero"/>
        <c:auto val="1"/>
        <c:lblAlgn val="ctr"/>
        <c:lblOffset val="100"/>
        <c:noMultiLvlLbl val="0"/>
      </c:catAx>
      <c:valAx>
        <c:axId val="604552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Merma (X-barra)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200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217800</xdr:rowOff>
    </xdr:from>
    <xdr:to>
      <xdr:col>10</xdr:col>
      <xdr:colOff>165600</xdr:colOff>
      <xdr:row>39</xdr:row>
      <xdr:rowOff>182160</xdr:rowOff>
    </xdr:to>
    <xdr:graphicFrame>
      <xdr:nvGraphicFramePr>
        <xdr:cNvPr id="0" name="Chart 1"/>
        <xdr:cNvGraphicFramePr/>
      </xdr:nvGraphicFramePr>
      <xdr:xfrm>
        <a:off x="141120" y="5428080"/>
        <a:ext cx="791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217800</xdr:rowOff>
    </xdr:from>
    <xdr:to>
      <xdr:col>17</xdr:col>
      <xdr:colOff>563760</xdr:colOff>
      <xdr:row>39</xdr:row>
      <xdr:rowOff>182160</xdr:rowOff>
    </xdr:to>
    <xdr:graphicFrame>
      <xdr:nvGraphicFramePr>
        <xdr:cNvPr id="1" name="Chart 2"/>
        <xdr:cNvGraphicFramePr/>
      </xdr:nvGraphicFramePr>
      <xdr:xfrm>
        <a:off x="5356800" y="5428080"/>
        <a:ext cx="791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233280</xdr:rowOff>
    </xdr:from>
    <xdr:to>
      <xdr:col>10</xdr:col>
      <xdr:colOff>251280</xdr:colOff>
      <xdr:row>42</xdr:row>
      <xdr:rowOff>176400</xdr:rowOff>
    </xdr:to>
    <xdr:graphicFrame>
      <xdr:nvGraphicFramePr>
        <xdr:cNvPr id="2" name="Chart 1"/>
        <xdr:cNvGraphicFramePr/>
      </xdr:nvGraphicFramePr>
      <xdr:xfrm>
        <a:off x="141120" y="5643360"/>
        <a:ext cx="863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232920</xdr:rowOff>
    </xdr:from>
    <xdr:to>
      <xdr:col>11</xdr:col>
      <xdr:colOff>673920</xdr:colOff>
      <xdr:row>60</xdr:row>
      <xdr:rowOff>155160</xdr:rowOff>
    </xdr:to>
    <xdr:graphicFrame>
      <xdr:nvGraphicFramePr>
        <xdr:cNvPr id="3" name="Chart 1"/>
        <xdr:cNvGraphicFramePr/>
      </xdr:nvGraphicFramePr>
      <xdr:xfrm>
        <a:off x="211320" y="8453160"/>
        <a:ext cx="863892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8"/>
  </cols>
  <sheetData>
    <row r="1" customFormat="false" ht="15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.75" hidden="false" customHeight="true" outlineLevel="0" collapsed="false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.7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15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</row>
    <row r="8" customFormat="false" ht="15.75" hidden="false" customHeight="true" outlineLevel="0" collapsed="false"/>
    <row r="9" customFormat="false" ht="15.75" hidden="false" customHeight="true" outlineLevel="0" collapsed="false">
      <c r="B9" s="6" t="s">
        <v>3</v>
      </c>
      <c r="C9" s="6"/>
      <c r="D9" s="6"/>
      <c r="E9" s="6"/>
      <c r="F9" s="6"/>
      <c r="G9" s="6"/>
      <c r="H9" s="6"/>
      <c r="I9" s="6"/>
    </row>
    <row r="10" customFormat="false" ht="15.75" hidden="false" customHeight="true" outlineLevel="0" collapsed="false">
      <c r="B10" s="7" t="s">
        <v>4</v>
      </c>
      <c r="D10" s="7" t="s">
        <v>5</v>
      </c>
      <c r="F10" s="7" t="s">
        <v>6</v>
      </c>
      <c r="G10" s="7"/>
      <c r="H10" s="7"/>
      <c r="I10" s="7"/>
    </row>
    <row r="11" customFormat="false" ht="18" hidden="false" customHeight="true" outlineLevel="0" collapsed="false">
      <c r="B11" s="8" t="s">
        <v>7</v>
      </c>
      <c r="D11" s="8" t="s">
        <v>8</v>
      </c>
      <c r="F11" s="8" t="s">
        <v>9</v>
      </c>
      <c r="G11" s="8"/>
      <c r="H11" s="8"/>
      <c r="I11" s="8"/>
    </row>
    <row r="12" customFormat="false" ht="18" hidden="false" customHeight="true" outlineLevel="0" collapsed="false">
      <c r="B12" s="9" t="s">
        <v>10</v>
      </c>
      <c r="D12" s="9" t="s">
        <v>11</v>
      </c>
      <c r="F12" s="9" t="s">
        <v>12</v>
      </c>
      <c r="G12" s="9"/>
      <c r="H12" s="9"/>
      <c r="I12" s="9"/>
    </row>
    <row r="13" customFormat="false" ht="18" hidden="false" customHeight="true" outlineLevel="0" collapsed="false">
      <c r="B13" s="8" t="s">
        <v>13</v>
      </c>
      <c r="D13" s="8" t="s">
        <v>14</v>
      </c>
      <c r="F13" s="8" t="s">
        <v>15</v>
      </c>
      <c r="G13" s="8"/>
      <c r="H13" s="8"/>
      <c r="I13" s="8"/>
    </row>
    <row r="14" customFormat="false" ht="18" hidden="false" customHeight="true" outlineLevel="0" collapsed="false">
      <c r="B14" s="9" t="s">
        <v>16</v>
      </c>
      <c r="D14" s="9" t="s">
        <v>17</v>
      </c>
      <c r="F14" s="9" t="s">
        <v>18</v>
      </c>
      <c r="G14" s="9"/>
      <c r="H14" s="9"/>
      <c r="I14" s="9"/>
    </row>
    <row r="15" customFormat="false" ht="18" hidden="false" customHeight="true" outlineLevel="0" collapsed="false">
      <c r="B15" s="8" t="s">
        <v>19</v>
      </c>
      <c r="D15" s="8" t="s">
        <v>20</v>
      </c>
      <c r="F15" s="8" t="s">
        <v>21</v>
      </c>
      <c r="G15" s="8"/>
      <c r="H15" s="8"/>
      <c r="I15" s="8"/>
    </row>
    <row r="16" customFormat="false" ht="15.75" hidden="false" customHeight="true" outlineLevel="0" collapsed="false"/>
    <row r="17" customFormat="false" ht="15.75" hidden="false" customHeight="true" outlineLevel="0" collapsed="false">
      <c r="B17" s="10" t="s">
        <v>22</v>
      </c>
      <c r="C17" s="10"/>
      <c r="D17" s="10"/>
      <c r="E17" s="10"/>
      <c r="F17" s="10"/>
      <c r="G17" s="10"/>
      <c r="H17" s="10"/>
      <c r="I17" s="10"/>
    </row>
    <row r="18" customFormat="false" ht="31.5" hidden="false" customHeight="true" outlineLevel="0" collapsed="false">
      <c r="B18" s="11" t="s">
        <v>23</v>
      </c>
      <c r="C18" s="11"/>
      <c r="D18" s="12" t="s">
        <v>24</v>
      </c>
      <c r="E18" s="12"/>
      <c r="F18" s="13" t="s">
        <v>25</v>
      </c>
      <c r="G18" s="13"/>
      <c r="H18" s="14" t="s">
        <v>26</v>
      </c>
      <c r="I18" s="14"/>
    </row>
    <row r="19" customFormat="false" ht="18" hidden="false" customHeight="true" outlineLevel="0" collapsed="false">
      <c r="B19" s="15" t="s">
        <v>27</v>
      </c>
      <c r="C19" s="15"/>
      <c r="D19" s="16" t="s">
        <v>28</v>
      </c>
      <c r="E19" s="16"/>
      <c r="F19" s="17" t="s">
        <v>29</v>
      </c>
      <c r="G19" s="17"/>
      <c r="H19" s="18" t="s">
        <v>30</v>
      </c>
      <c r="I19" s="18"/>
    </row>
    <row r="20" customFormat="false" ht="18" hidden="false" customHeight="true" outlineLevel="0" collapsed="false">
      <c r="B20" s="15"/>
      <c r="C20" s="15"/>
      <c r="D20" s="16"/>
      <c r="E20" s="16"/>
      <c r="F20" s="17"/>
      <c r="G20" s="17"/>
      <c r="H20" s="18"/>
      <c r="I20" s="18"/>
    </row>
    <row r="21" customFormat="false" ht="15.75" hidden="false" customHeight="true" outlineLevel="0" collapsed="false"/>
    <row r="22" customFormat="false" ht="15.75" hidden="false" customHeight="true" outlineLevel="0" collapsed="false">
      <c r="B22" s="19" t="s">
        <v>31</v>
      </c>
      <c r="C22" s="19"/>
      <c r="D22" s="19"/>
      <c r="E22" s="19"/>
      <c r="F22" s="19"/>
      <c r="G22" s="19"/>
      <c r="H22" s="19"/>
      <c r="I22" s="19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</sheetData>
  <mergeCells count="21">
    <mergeCell ref="A1:J2"/>
    <mergeCell ref="A3:J4"/>
    <mergeCell ref="A5:J5"/>
    <mergeCell ref="A6:J7"/>
    <mergeCell ref="B9:I9"/>
    <mergeCell ref="F10:I10"/>
    <mergeCell ref="F11:I11"/>
    <mergeCell ref="F12:I12"/>
    <mergeCell ref="F13:I13"/>
    <mergeCell ref="F14:I14"/>
    <mergeCell ref="F15:I15"/>
    <mergeCell ref="B17:I17"/>
    <mergeCell ref="B18:C18"/>
    <mergeCell ref="D18:E18"/>
    <mergeCell ref="F18:G18"/>
    <mergeCell ref="H18:I18"/>
    <mergeCell ref="B19:C20"/>
    <mergeCell ref="D19:E20"/>
    <mergeCell ref="F19:G20"/>
    <mergeCell ref="H19:I20"/>
    <mergeCell ref="B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14" min="3" style="1" width="12"/>
    <col collapsed="false" customWidth="true" hidden="false" outlineLevel="0" max="15" min="15" style="1" width="3"/>
  </cols>
  <sheetData>
    <row r="1" customFormat="false" ht="15" hidden="false" customHeight="true" outlineLevel="0" collapsed="false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customFormat="false" ht="17.25" hidden="false" customHeight="true" outlineLevel="0" collapsed="false">
      <c r="A2" s="20"/>
      <c r="B2" s="21" t="s">
        <v>32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0"/>
    </row>
    <row r="3" customFormat="false" ht="15" hidden="false" customHeight="true" outlineLevel="0" collapsed="false">
      <c r="A3" s="20"/>
      <c r="B3" s="22" t="s">
        <v>33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0"/>
    </row>
    <row r="4" customFormat="false" ht="15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customFormat="false" ht="18" hidden="false" customHeight="true" outlineLevel="0" collapsed="false">
      <c r="B5" s="23" t="s">
        <v>34</v>
      </c>
      <c r="C5" s="23"/>
      <c r="D5" s="23" t="s">
        <v>35</v>
      </c>
      <c r="E5" s="23"/>
      <c r="F5" s="23" t="s">
        <v>36</v>
      </c>
      <c r="G5" s="23"/>
      <c r="H5" s="23" t="s">
        <v>37</v>
      </c>
      <c r="I5" s="23"/>
      <c r="J5" s="23" t="s">
        <v>38</v>
      </c>
      <c r="K5" s="23"/>
    </row>
    <row r="6" customFormat="false" ht="30" hidden="false" customHeight="true" outlineLevel="0" collapsed="false">
      <c r="B6" s="24" t="s">
        <v>39</v>
      </c>
      <c r="C6" s="24"/>
      <c r="D6" s="24" t="s">
        <v>40</v>
      </c>
      <c r="E6" s="24"/>
      <c r="F6" s="24" t="s">
        <v>41</v>
      </c>
      <c r="G6" s="24"/>
      <c r="H6" s="24" t="s">
        <v>42</v>
      </c>
      <c r="I6" s="24"/>
      <c r="J6" s="24" t="s">
        <v>43</v>
      </c>
      <c r="K6" s="24"/>
    </row>
    <row r="7" customFormat="false" ht="13.5" hidden="false" customHeight="true" outlineLevel="0" collapsed="false">
      <c r="B7" s="25" t="s">
        <v>44</v>
      </c>
      <c r="C7" s="25"/>
      <c r="D7" s="25" t="s">
        <v>45</v>
      </c>
      <c r="E7" s="25"/>
      <c r="F7" s="25" t="s">
        <v>46</v>
      </c>
      <c r="G7" s="25"/>
      <c r="H7" s="25" t="s">
        <v>47</v>
      </c>
      <c r="I7" s="25"/>
      <c r="J7" s="25" t="s">
        <v>48</v>
      </c>
      <c r="K7" s="25"/>
    </row>
    <row r="9" customFormat="false" ht="19.5" hidden="false" customHeight="true" outlineLevel="0" collapsed="false">
      <c r="B9" s="26" t="s">
        <v>49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customFormat="false" ht="30" hidden="false" customHeight="true" outlineLevel="0" collapsed="false">
      <c r="B10" s="27" t="s">
        <v>50</v>
      </c>
      <c r="C10" s="27" t="s">
        <v>51</v>
      </c>
      <c r="D10" s="27" t="s">
        <v>52</v>
      </c>
      <c r="E10" s="27" t="s">
        <v>53</v>
      </c>
      <c r="F10" s="27" t="s">
        <v>54</v>
      </c>
      <c r="G10" s="27" t="s">
        <v>55</v>
      </c>
      <c r="H10" s="27" t="s">
        <v>56</v>
      </c>
      <c r="I10" s="27" t="s">
        <v>57</v>
      </c>
      <c r="J10" s="27" t="s">
        <v>58</v>
      </c>
      <c r="K10" s="27" t="s">
        <v>59</v>
      </c>
      <c r="L10" s="27" t="s">
        <v>60</v>
      </c>
      <c r="M10" s="27" t="s">
        <v>61</v>
      </c>
    </row>
    <row r="11" customFormat="false" ht="15.75" hidden="false" customHeight="true" outlineLevel="0" collapsed="false">
      <c r="B11" s="28" t="s">
        <v>62</v>
      </c>
      <c r="C11" s="28" t="s">
        <v>63</v>
      </c>
      <c r="D11" s="28" t="n">
        <v>118</v>
      </c>
      <c r="E11" s="29" t="n">
        <v>1820</v>
      </c>
      <c r="F11" s="29" t="n">
        <v>21840</v>
      </c>
      <c r="G11" s="29" t="n">
        <v>1528</v>
      </c>
      <c r="H11" s="30" t="n">
        <v>0.06996336996337</v>
      </c>
      <c r="I11" s="28" t="s">
        <v>64</v>
      </c>
      <c r="J11" s="31" t="n">
        <v>69.7</v>
      </c>
      <c r="K11" s="28" t="s">
        <v>65</v>
      </c>
      <c r="L11" s="30" t="n">
        <v>0.942</v>
      </c>
      <c r="M11" s="32" t="s">
        <v>66</v>
      </c>
    </row>
    <row r="12" customFormat="false" ht="15.75" hidden="false" customHeight="true" outlineLevel="0" collapsed="false">
      <c r="B12" s="33" t="s">
        <v>67</v>
      </c>
      <c r="C12" s="33" t="s">
        <v>63</v>
      </c>
      <c r="D12" s="33" t="n">
        <v>120</v>
      </c>
      <c r="E12" s="34" t="n">
        <v>1950</v>
      </c>
      <c r="F12" s="34" t="n">
        <v>23400</v>
      </c>
      <c r="G12" s="34" t="n">
        <v>1498</v>
      </c>
      <c r="H12" s="35" t="n">
        <v>0.064017094017094</v>
      </c>
      <c r="I12" s="33" t="s">
        <v>68</v>
      </c>
      <c r="J12" s="36" t="n">
        <v>71.8</v>
      </c>
      <c r="K12" s="33" t="s">
        <v>69</v>
      </c>
      <c r="L12" s="35" t="n">
        <v>0.951</v>
      </c>
      <c r="M12" s="37" t="s">
        <v>70</v>
      </c>
    </row>
    <row r="13" customFormat="false" ht="15.75" hidden="false" customHeight="true" outlineLevel="0" collapsed="false">
      <c r="B13" s="28" t="s">
        <v>71</v>
      </c>
      <c r="C13" s="28" t="s">
        <v>63</v>
      </c>
      <c r="D13" s="28" t="n">
        <v>119</v>
      </c>
      <c r="E13" s="29" t="n">
        <v>2080</v>
      </c>
      <c r="F13" s="29" t="n">
        <v>24960</v>
      </c>
      <c r="G13" s="29" t="n">
        <v>1448</v>
      </c>
      <c r="H13" s="30" t="n">
        <v>0.0580128205128205</v>
      </c>
      <c r="I13" s="28" t="s">
        <v>72</v>
      </c>
      <c r="J13" s="31" t="n">
        <v>73.4</v>
      </c>
      <c r="K13" s="28" t="s">
        <v>73</v>
      </c>
      <c r="L13" s="30" t="n">
        <v>0.958</v>
      </c>
      <c r="M13" s="37" t="s">
        <v>70</v>
      </c>
    </row>
    <row r="14" customFormat="false" ht="15.75" hidden="false" customHeight="true" outlineLevel="0" collapsed="false">
      <c r="B14" s="33" t="s">
        <v>74</v>
      </c>
      <c r="C14" s="33" t="s">
        <v>75</v>
      </c>
      <c r="D14" s="33" t="n">
        <v>115</v>
      </c>
      <c r="E14" s="34" t="n">
        <v>1760</v>
      </c>
      <c r="F14" s="34" t="n">
        <v>21120</v>
      </c>
      <c r="G14" s="34" t="n">
        <v>1394</v>
      </c>
      <c r="H14" s="35" t="n">
        <v>0.0660037878787879</v>
      </c>
      <c r="I14" s="33" t="s">
        <v>76</v>
      </c>
      <c r="J14" s="36" t="n">
        <v>70.2</v>
      </c>
      <c r="K14" s="33" t="s">
        <v>65</v>
      </c>
      <c r="L14" s="35" t="n">
        <v>0.937</v>
      </c>
      <c r="M14" s="37" t="s">
        <v>70</v>
      </c>
    </row>
    <row r="15" customFormat="false" ht="15.75" hidden="false" customHeight="true" outlineLevel="0" collapsed="false">
      <c r="B15" s="28" t="s">
        <v>77</v>
      </c>
      <c r="C15" s="28" t="s">
        <v>63</v>
      </c>
      <c r="D15" s="28" t="n">
        <v>121</v>
      </c>
      <c r="E15" s="29" t="n">
        <v>2200</v>
      </c>
      <c r="F15" s="29" t="n">
        <v>26400</v>
      </c>
      <c r="G15" s="29" t="n">
        <v>1373</v>
      </c>
      <c r="H15" s="30" t="n">
        <v>0.0520075757575758</v>
      </c>
      <c r="I15" s="28" t="s">
        <v>78</v>
      </c>
      <c r="J15" s="31" t="n">
        <v>74.9</v>
      </c>
      <c r="K15" s="28" t="s">
        <v>79</v>
      </c>
      <c r="L15" s="30" t="n">
        <v>0.96</v>
      </c>
      <c r="M15" s="37" t="s">
        <v>70</v>
      </c>
    </row>
    <row r="16" customFormat="false" ht="15.75" hidden="false" customHeight="true" outlineLevel="0" collapsed="false">
      <c r="B16" s="33" t="s">
        <v>80</v>
      </c>
      <c r="C16" s="33" t="s">
        <v>63</v>
      </c>
      <c r="D16" s="33" t="n">
        <v>120</v>
      </c>
      <c r="E16" s="34" t="n">
        <v>2310</v>
      </c>
      <c r="F16" s="34" t="n">
        <v>27720</v>
      </c>
      <c r="G16" s="34" t="n">
        <v>1357</v>
      </c>
      <c r="H16" s="35" t="n">
        <v>0.048953823953824</v>
      </c>
      <c r="I16" s="33" t="s">
        <v>81</v>
      </c>
      <c r="J16" s="36" t="n">
        <v>76.2</v>
      </c>
      <c r="K16" s="33" t="s">
        <v>82</v>
      </c>
      <c r="L16" s="35" t="n">
        <v>0.964</v>
      </c>
      <c r="M16" s="37" t="s">
        <v>70</v>
      </c>
    </row>
    <row r="17" customFormat="false" ht="15.75" hidden="false" customHeight="true" outlineLevel="0" collapsed="false">
      <c r="B17" s="28" t="s">
        <v>83</v>
      </c>
      <c r="C17" s="28" t="s">
        <v>63</v>
      </c>
      <c r="D17" s="28" t="n">
        <v>122</v>
      </c>
      <c r="E17" s="29" t="n">
        <v>2480</v>
      </c>
      <c r="F17" s="29" t="n">
        <v>29760</v>
      </c>
      <c r="G17" s="29" t="n">
        <v>1338</v>
      </c>
      <c r="H17" s="30" t="n">
        <v>0.0449596774193548</v>
      </c>
      <c r="I17" s="28" t="s">
        <v>84</v>
      </c>
      <c r="J17" s="31" t="n">
        <v>78.1</v>
      </c>
      <c r="K17" s="28" t="s">
        <v>73</v>
      </c>
      <c r="L17" s="30" t="n">
        <v>0.971</v>
      </c>
      <c r="M17" s="37" t="s">
        <v>70</v>
      </c>
    </row>
    <row r="18" customFormat="false" ht="15.75" hidden="false" customHeight="true" outlineLevel="0" collapsed="false">
      <c r="B18" s="33" t="s">
        <v>85</v>
      </c>
      <c r="C18" s="33" t="s">
        <v>75</v>
      </c>
      <c r="D18" s="33" t="n">
        <v>117</v>
      </c>
      <c r="E18" s="34" t="n">
        <v>2180</v>
      </c>
      <c r="F18" s="34" t="n">
        <v>26160</v>
      </c>
      <c r="G18" s="34" t="n">
        <v>1308</v>
      </c>
      <c r="H18" s="35" t="n">
        <v>0.05</v>
      </c>
      <c r="I18" s="33" t="s">
        <v>86</v>
      </c>
      <c r="J18" s="36" t="n">
        <v>75.6</v>
      </c>
      <c r="K18" s="33" t="s">
        <v>69</v>
      </c>
      <c r="L18" s="35" t="n">
        <v>0.955</v>
      </c>
      <c r="M18" s="37" t="s">
        <v>70</v>
      </c>
    </row>
    <row r="19" customFormat="false" ht="15.75" hidden="false" customHeight="true" outlineLevel="0" collapsed="false">
      <c r="B19" s="28" t="s">
        <v>87</v>
      </c>
      <c r="C19" s="28" t="s">
        <v>63</v>
      </c>
      <c r="D19" s="28" t="n">
        <v>120</v>
      </c>
      <c r="E19" s="29" t="n">
        <v>2590</v>
      </c>
      <c r="F19" s="29" t="n">
        <v>31080</v>
      </c>
      <c r="G19" s="29" t="n">
        <v>1274</v>
      </c>
      <c r="H19" s="30" t="n">
        <v>0.040990990990991</v>
      </c>
      <c r="I19" s="28" t="s">
        <v>88</v>
      </c>
      <c r="J19" s="31" t="n">
        <v>80.3</v>
      </c>
      <c r="K19" s="28" t="s">
        <v>82</v>
      </c>
      <c r="L19" s="30" t="n">
        <v>0.973</v>
      </c>
      <c r="M19" s="38" t="s">
        <v>89</v>
      </c>
    </row>
    <row r="20" customFormat="false" ht="15.75" hidden="false" customHeight="true" outlineLevel="0" collapsed="false">
      <c r="B20" s="33" t="s">
        <v>90</v>
      </c>
      <c r="C20" s="33" t="s">
        <v>63</v>
      </c>
      <c r="D20" s="33" t="n">
        <v>121</v>
      </c>
      <c r="E20" s="34" t="n">
        <v>2680</v>
      </c>
      <c r="F20" s="34" t="n">
        <v>32160</v>
      </c>
      <c r="G20" s="34" t="n">
        <v>1254</v>
      </c>
      <c r="H20" s="35" t="n">
        <v>0.0389925373134328</v>
      </c>
      <c r="I20" s="33" t="s">
        <v>41</v>
      </c>
      <c r="J20" s="36" t="n">
        <v>82.1</v>
      </c>
      <c r="K20" s="33" t="s">
        <v>79</v>
      </c>
      <c r="L20" s="35" t="n">
        <v>0.978</v>
      </c>
      <c r="M20" s="38" t="s">
        <v>89</v>
      </c>
    </row>
    <row r="21" customFormat="false" ht="15.75" hidden="false" customHeight="true" outlineLevel="0" collapsed="false">
      <c r="B21" s="28" t="s">
        <v>91</v>
      </c>
      <c r="C21" s="28" t="s">
        <v>63</v>
      </c>
      <c r="D21" s="28" t="n">
        <v>120</v>
      </c>
      <c r="E21" s="29" t="n">
        <v>2750</v>
      </c>
      <c r="F21" s="29" t="n">
        <v>33000</v>
      </c>
      <c r="G21" s="29" t="n">
        <v>1254</v>
      </c>
      <c r="H21" s="30" t="n">
        <v>0.038</v>
      </c>
      <c r="I21" s="28" t="s">
        <v>41</v>
      </c>
      <c r="J21" s="31" t="n">
        <v>84</v>
      </c>
      <c r="K21" s="28" t="s">
        <v>82</v>
      </c>
      <c r="L21" s="30" t="n">
        <v>0.981</v>
      </c>
      <c r="M21" s="38" t="s">
        <v>89</v>
      </c>
    </row>
    <row r="22" customFormat="false" ht="15.75" hidden="false" customHeight="true" outlineLevel="0" collapsed="false">
      <c r="B22" s="33" t="s">
        <v>92</v>
      </c>
      <c r="C22" s="33" t="s">
        <v>63</v>
      </c>
      <c r="D22" s="33" t="n">
        <v>122</v>
      </c>
      <c r="E22" s="34" t="n">
        <v>2840</v>
      </c>
      <c r="F22" s="34" t="n">
        <v>34080</v>
      </c>
      <c r="G22" s="34" t="n">
        <v>1231</v>
      </c>
      <c r="H22" s="35" t="n">
        <v>0.0361208920187793</v>
      </c>
      <c r="I22" s="33" t="s">
        <v>41</v>
      </c>
      <c r="J22" s="36" t="n">
        <v>89.4</v>
      </c>
      <c r="K22" s="33" t="s">
        <v>73</v>
      </c>
      <c r="L22" s="35" t="n">
        <v>0.982</v>
      </c>
      <c r="M22" s="38" t="s">
        <v>89</v>
      </c>
    </row>
    <row r="23" customFormat="false" ht="18" hidden="false" customHeight="true" outlineLevel="0" collapsed="false">
      <c r="B23" s="39" t="s">
        <v>93</v>
      </c>
      <c r="C23" s="39"/>
      <c r="D23" s="39"/>
      <c r="E23" s="40" t="n">
        <f aca="false">SUM(E11:E22)</f>
        <v>27640</v>
      </c>
      <c r="F23" s="40" t="n">
        <f aca="false">SUM(F11:F22)</f>
        <v>331680</v>
      </c>
      <c r="G23" s="40" t="n">
        <f aca="false">SUM(G11:G22)</f>
        <v>16257</v>
      </c>
      <c r="H23" s="41" t="n">
        <f aca="false">G23/F23</f>
        <v>0.0490141099855282</v>
      </c>
      <c r="I23" s="39"/>
      <c r="J23" s="42" t="n">
        <f aca="false">AVERAGE(J11:J22)</f>
        <v>77.1416666666667</v>
      </c>
      <c r="K23" s="39"/>
      <c r="L23" s="39"/>
      <c r="M23" s="39"/>
    </row>
    <row r="25" customFormat="false" ht="19.5" hidden="false" customHeight="true" outlineLevel="0" collapsed="false">
      <c r="B25" s="43" t="s">
        <v>94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</sheetData>
  <mergeCells count="20">
    <mergeCell ref="B2:N2"/>
    <mergeCell ref="B3:N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9:N9"/>
    <mergeCell ref="B23:C23"/>
    <mergeCell ref="B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12" min="3" style="1" width="14"/>
    <col collapsed="false" customWidth="true" hidden="false" outlineLevel="0" max="13" min="13" style="1" width="3"/>
  </cols>
  <sheetData>
    <row r="1" customFormat="false" ht="15" hidden="false" customHeight="true" outlineLevel="0" collapsed="false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customFormat="false" ht="15.75" hidden="false" customHeight="true" outlineLevel="0" collapsed="false">
      <c r="A2" s="20"/>
      <c r="B2" s="44" t="s">
        <v>95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20"/>
    </row>
    <row r="3" customFormat="false" ht="15" hidden="false" customHeight="true" outlineLevel="0" collapsed="false">
      <c r="A3" s="20"/>
      <c r="B3" s="22" t="s">
        <v>96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0"/>
    </row>
    <row r="4" customFormat="false" ht="15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8" hidden="false" customHeight="true" outlineLevel="0" collapsed="false">
      <c r="B5" s="45" t="s">
        <v>97</v>
      </c>
      <c r="C5" s="45"/>
      <c r="D5" s="45"/>
      <c r="E5" s="45"/>
      <c r="F5" s="45"/>
    </row>
    <row r="6" customFormat="false" ht="15.75" hidden="false" customHeight="true" outlineLevel="0" collapsed="false">
      <c r="B6" s="46" t="s">
        <v>98</v>
      </c>
      <c r="C6" s="47" t="n">
        <v>42.5</v>
      </c>
    </row>
    <row r="7" customFormat="false" ht="15.75" hidden="false" customHeight="true" outlineLevel="0" collapsed="false">
      <c r="B7" s="48" t="s">
        <v>99</v>
      </c>
      <c r="C7" s="49" t="n">
        <v>8</v>
      </c>
    </row>
    <row r="8" customFormat="false" ht="15.75" hidden="false" customHeight="true" outlineLevel="0" collapsed="false">
      <c r="B8" s="46" t="s">
        <v>100</v>
      </c>
      <c r="C8" s="49" t="n">
        <v>120</v>
      </c>
    </row>
    <row r="9" customFormat="false" ht="15.75" hidden="false" customHeight="true" outlineLevel="0" collapsed="false">
      <c r="B9" s="48" t="s">
        <v>101</v>
      </c>
      <c r="C9" s="47" t="n">
        <v>3.8</v>
      </c>
    </row>
    <row r="10" customFormat="false" ht="15.75" hidden="false" customHeight="true" outlineLevel="0" collapsed="false">
      <c r="B10" s="46" t="s">
        <v>102</v>
      </c>
      <c r="C10" s="47" t="n">
        <v>0.45</v>
      </c>
    </row>
    <row r="11" customFormat="false" ht="15.75" hidden="false" customHeight="true" outlineLevel="0" collapsed="false">
      <c r="B11" s="48" t="s">
        <v>103</v>
      </c>
      <c r="C11" s="47" t="n">
        <v>0.12</v>
      </c>
    </row>
    <row r="12" customFormat="false" ht="15.75" hidden="false" customHeight="true" outlineLevel="0" collapsed="false">
      <c r="B12" s="46" t="s">
        <v>104</v>
      </c>
      <c r="C12" s="47" t="n">
        <v>8.5</v>
      </c>
    </row>
    <row r="13" customFormat="false" ht="15.75" hidden="false" customHeight="true" outlineLevel="0" collapsed="false">
      <c r="B13" s="48" t="s">
        <v>105</v>
      </c>
      <c r="C13" s="50" t="n">
        <v>0.06</v>
      </c>
    </row>
    <row r="15" customFormat="false" ht="19.5" hidden="false" customHeight="true" outlineLevel="0" collapsed="false">
      <c r="B15" s="26" t="s">
        <v>106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customFormat="false" ht="27.75" hidden="false" customHeight="true" outlineLevel="0" collapsed="false">
      <c r="B16" s="27" t="s">
        <v>107</v>
      </c>
      <c r="C16" s="27" t="s">
        <v>108</v>
      </c>
      <c r="D16" s="27" t="s">
        <v>109</v>
      </c>
      <c r="E16" s="27" t="s">
        <v>110</v>
      </c>
      <c r="F16" s="27" t="s">
        <v>111</v>
      </c>
      <c r="G16" s="27" t="s">
        <v>112</v>
      </c>
      <c r="H16" s="27" t="s">
        <v>113</v>
      </c>
      <c r="I16" s="27" t="s">
        <v>114</v>
      </c>
      <c r="J16" s="27" t="s">
        <v>115</v>
      </c>
      <c r="K16" s="27" t="s">
        <v>116</v>
      </c>
      <c r="L16" s="27" t="s">
        <v>117</v>
      </c>
      <c r="M16" s="27" t="s">
        <v>118</v>
      </c>
    </row>
    <row r="17" customFormat="false" ht="16.5" hidden="false" customHeight="true" outlineLevel="0" collapsed="false">
      <c r="B17" s="51" t="s">
        <v>119</v>
      </c>
      <c r="C17" s="29" t="n">
        <v>8200</v>
      </c>
      <c r="D17" s="29" t="n">
        <f aca="false">C17*E17</f>
        <v>311.6</v>
      </c>
      <c r="E17" s="52" t="n">
        <v>0.038</v>
      </c>
      <c r="F17" s="29" t="n">
        <f aca="false">C17-D17</f>
        <v>7888.4</v>
      </c>
      <c r="G17" s="28" t="n">
        <f aca="false">($C$6*$C$7)/$C$8/F17</f>
        <v>0.000359177188445481</v>
      </c>
      <c r="H17" s="28" t="n">
        <f aca="false">$C$9/12.5</f>
        <v>0.304</v>
      </c>
      <c r="I17" s="28" t="n">
        <f aca="false">$C$10</f>
        <v>0.45</v>
      </c>
      <c r="J17" s="28" t="n">
        <f aca="false">G17+H17+I17+$C$11</f>
        <v>0.874359177188446</v>
      </c>
      <c r="K17" s="28" t="n">
        <f aca="false">$C$12</f>
        <v>8.5</v>
      </c>
      <c r="L17" s="28" t="n">
        <f aca="false">K17-J17</f>
        <v>7.62564082281156</v>
      </c>
      <c r="M17" s="30" t="n">
        <f aca="false">L17/K17</f>
        <v>0.897134214448418</v>
      </c>
    </row>
    <row r="18" customFormat="false" ht="16.5" hidden="false" customHeight="true" outlineLevel="0" collapsed="false">
      <c r="B18" s="53" t="s">
        <v>120</v>
      </c>
      <c r="C18" s="34" t="n">
        <v>12400</v>
      </c>
      <c r="D18" s="34" t="n">
        <f aca="false">C18*E18</f>
        <v>520.8</v>
      </c>
      <c r="E18" s="52" t="n">
        <v>0.042</v>
      </c>
      <c r="F18" s="34" t="n">
        <f aca="false">C18-D18</f>
        <v>11879.2</v>
      </c>
      <c r="G18" s="33" t="n">
        <f aca="false">($C$6*$C$7)/$C$8/F18</f>
        <v>0.00023851213325252</v>
      </c>
      <c r="H18" s="33" t="n">
        <f aca="false">$C$9/12.5</f>
        <v>0.304</v>
      </c>
      <c r="I18" s="33" t="n">
        <f aca="false">$C$10</f>
        <v>0.45</v>
      </c>
      <c r="J18" s="33" t="n">
        <f aca="false">G18+H18+I18+$C$11</f>
        <v>0.874238512133253</v>
      </c>
      <c r="K18" s="33" t="n">
        <f aca="false">$C$12</f>
        <v>8.5</v>
      </c>
      <c r="L18" s="33" t="n">
        <f aca="false">K18-J18</f>
        <v>7.62576148786675</v>
      </c>
      <c r="M18" s="35" t="n">
        <f aca="false">L18/K18</f>
        <v>0.897148410337264</v>
      </c>
    </row>
    <row r="19" customFormat="false" ht="16.5" hidden="false" customHeight="true" outlineLevel="0" collapsed="false">
      <c r="B19" s="51" t="s">
        <v>121</v>
      </c>
      <c r="C19" s="29" t="n">
        <v>18600</v>
      </c>
      <c r="D19" s="29" t="n">
        <f aca="false">C19*E19</f>
        <v>818.4</v>
      </c>
      <c r="E19" s="52" t="n">
        <v>0.044</v>
      </c>
      <c r="F19" s="29" t="n">
        <f aca="false">C19-D19</f>
        <v>17781.6</v>
      </c>
      <c r="G19" s="28" t="n">
        <f aca="false">($C$6*$C$7)/$C$8/F19</f>
        <v>0.000159340741740526</v>
      </c>
      <c r="H19" s="28" t="n">
        <f aca="false">$C$9/12.5</f>
        <v>0.304</v>
      </c>
      <c r="I19" s="28" t="n">
        <f aca="false">$C$10</f>
        <v>0.45</v>
      </c>
      <c r="J19" s="28" t="n">
        <f aca="false">G19+H19+I19+$C$11</f>
        <v>0.874159340741741</v>
      </c>
      <c r="K19" s="28" t="n">
        <f aca="false">$C$12</f>
        <v>8.5</v>
      </c>
      <c r="L19" s="28" t="n">
        <f aca="false">K19-J19</f>
        <v>7.62584065925826</v>
      </c>
      <c r="M19" s="30" t="n">
        <f aca="false">L19/K19</f>
        <v>0.897157724618619</v>
      </c>
    </row>
    <row r="20" customFormat="false" ht="16.5" hidden="false" customHeight="true" outlineLevel="0" collapsed="false">
      <c r="B20" s="53" t="s">
        <v>122</v>
      </c>
      <c r="C20" s="34" t="n">
        <v>22800</v>
      </c>
      <c r="D20" s="34" t="n">
        <f aca="false">C20*E20</f>
        <v>934.8</v>
      </c>
      <c r="E20" s="52" t="n">
        <v>0.041</v>
      </c>
      <c r="F20" s="34" t="n">
        <f aca="false">C20-D20</f>
        <v>21865.2</v>
      </c>
      <c r="G20" s="33" t="n">
        <f aca="false">($C$6*$C$7)/$C$8/F20</f>
        <v>0.000129581862198074</v>
      </c>
      <c r="H20" s="33" t="n">
        <f aca="false">$C$9/12.5</f>
        <v>0.304</v>
      </c>
      <c r="I20" s="33" t="n">
        <f aca="false">$C$10</f>
        <v>0.45</v>
      </c>
      <c r="J20" s="33" t="n">
        <f aca="false">G20+H20+I20+$C$11</f>
        <v>0.874129581862198</v>
      </c>
      <c r="K20" s="33" t="n">
        <f aca="false">$C$12</f>
        <v>8.5</v>
      </c>
      <c r="L20" s="33" t="n">
        <f aca="false">K20-J20</f>
        <v>7.6258704181378</v>
      </c>
      <c r="M20" s="35" t="n">
        <f aca="false">L20/K20</f>
        <v>0.897161225663271</v>
      </c>
    </row>
    <row r="21" customFormat="false" ht="16.5" hidden="false" customHeight="true" outlineLevel="0" collapsed="false">
      <c r="B21" s="51" t="s">
        <v>123</v>
      </c>
      <c r="C21" s="29" t="n">
        <v>19200</v>
      </c>
      <c r="D21" s="29" t="n">
        <f aca="false">C21*E21</f>
        <v>748.8</v>
      </c>
      <c r="E21" s="52" t="n">
        <v>0.039</v>
      </c>
      <c r="F21" s="29" t="n">
        <f aca="false">C21-D21</f>
        <v>18451.2</v>
      </c>
      <c r="G21" s="28" t="n">
        <f aca="false">($C$6*$C$7)/$C$8/F21</f>
        <v>0.000153558214822523</v>
      </c>
      <c r="H21" s="28" t="n">
        <f aca="false">$C$9/12.5</f>
        <v>0.304</v>
      </c>
      <c r="I21" s="28" t="n">
        <f aca="false">$C$10</f>
        <v>0.45</v>
      </c>
      <c r="J21" s="28" t="n">
        <f aca="false">G21+H21+I21+$C$11</f>
        <v>0.874153558214823</v>
      </c>
      <c r="K21" s="28" t="n">
        <f aca="false">$C$12</f>
        <v>8.5</v>
      </c>
      <c r="L21" s="28" t="n">
        <f aca="false">K21-J21</f>
        <v>7.62584644178518</v>
      </c>
      <c r="M21" s="30" t="n">
        <f aca="false">L21/K21</f>
        <v>0.897158404915903</v>
      </c>
    </row>
    <row r="22" customFormat="false" ht="16.5" hidden="false" customHeight="true" outlineLevel="0" collapsed="false">
      <c r="B22" s="53" t="s">
        <v>124</v>
      </c>
      <c r="C22" s="34" t="n">
        <v>11400</v>
      </c>
      <c r="D22" s="34" t="n">
        <f aca="false">C22*E22</f>
        <v>513</v>
      </c>
      <c r="E22" s="52" t="n">
        <v>0.045</v>
      </c>
      <c r="F22" s="34" t="n">
        <f aca="false">C22-D22</f>
        <v>10887</v>
      </c>
      <c r="G22" s="33" t="n">
        <f aca="false">($C$6*$C$7)/$C$8/F22</f>
        <v>0.000260249226906708</v>
      </c>
      <c r="H22" s="33" t="n">
        <f aca="false">$C$9/12.5</f>
        <v>0.304</v>
      </c>
      <c r="I22" s="33" t="n">
        <f aca="false">$C$10</f>
        <v>0.45</v>
      </c>
      <c r="J22" s="33" t="n">
        <f aca="false">G22+H22+I22+$C$11</f>
        <v>0.874260249226907</v>
      </c>
      <c r="K22" s="33" t="n">
        <f aca="false">$C$12</f>
        <v>8.5</v>
      </c>
      <c r="L22" s="33" t="n">
        <f aca="false">K22-J22</f>
        <v>7.62573975077309</v>
      </c>
      <c r="M22" s="35" t="n">
        <f aca="false">L22/K22</f>
        <v>0.897145853032129</v>
      </c>
    </row>
    <row r="23" customFormat="false" ht="16.5" hidden="false" customHeight="true" outlineLevel="0" collapsed="false">
      <c r="B23" s="51" t="s">
        <v>125</v>
      </c>
      <c r="C23" s="29" t="n">
        <v>6800</v>
      </c>
      <c r="D23" s="29" t="n">
        <f aca="false">C23*E23</f>
        <v>421.6</v>
      </c>
      <c r="E23" s="52" t="n">
        <v>0.062</v>
      </c>
      <c r="F23" s="29" t="n">
        <f aca="false">C23-D23</f>
        <v>6378.4</v>
      </c>
      <c r="G23" s="28" t="n">
        <f aca="false">($C$6*$C$7)/$C$8/F23</f>
        <v>0.000444207533759773</v>
      </c>
      <c r="H23" s="28" t="n">
        <f aca="false">$C$9/12.5</f>
        <v>0.304</v>
      </c>
      <c r="I23" s="28" t="n">
        <f aca="false">$C$10</f>
        <v>0.45</v>
      </c>
      <c r="J23" s="28" t="n">
        <f aca="false">G23+H23+I23+$C$11</f>
        <v>0.87444420753376</v>
      </c>
      <c r="K23" s="28" t="n">
        <f aca="false">$C$12</f>
        <v>8.5</v>
      </c>
      <c r="L23" s="28" t="n">
        <f aca="false">K23-J23</f>
        <v>7.62555579246624</v>
      </c>
      <c r="M23" s="30" t="n">
        <f aca="false">L23/K23</f>
        <v>0.897124210878381</v>
      </c>
    </row>
    <row r="24" customFormat="false" ht="16.5" hidden="false" customHeight="true" outlineLevel="0" collapsed="false">
      <c r="B24" s="54" t="s">
        <v>126</v>
      </c>
      <c r="C24" s="34" t="n">
        <v>3400</v>
      </c>
      <c r="D24" s="34" t="n">
        <f aca="false">C24*E24</f>
        <v>340</v>
      </c>
      <c r="E24" s="52" t="n">
        <v>0.1</v>
      </c>
      <c r="F24" s="34" t="n">
        <f aca="false">C24-D24</f>
        <v>3060</v>
      </c>
      <c r="G24" s="33" t="n">
        <f aca="false">($C$6*$C$7)/$C$8/F24</f>
        <v>0.000925925925925926</v>
      </c>
      <c r="H24" s="33" t="n">
        <f aca="false">$C$9/12.5</f>
        <v>0.304</v>
      </c>
      <c r="I24" s="33" t="n">
        <f aca="false">$C$10</f>
        <v>0.45</v>
      </c>
      <c r="J24" s="33" t="n">
        <f aca="false">G24+H24+I24+$C$11</f>
        <v>0.874925925925926</v>
      </c>
      <c r="K24" s="33" t="n">
        <f aca="false">$C$12</f>
        <v>8.5</v>
      </c>
      <c r="L24" s="33" t="n">
        <f aca="false">K24-J24</f>
        <v>7.62507407407407</v>
      </c>
      <c r="M24" s="35" t="n">
        <f aca="false">L24/K24</f>
        <v>0.897067538126362</v>
      </c>
    </row>
    <row r="25" customFormat="false" ht="18" hidden="false" customHeight="true" outlineLevel="0" collapsed="false">
      <c r="B25" s="54" t="s">
        <v>127</v>
      </c>
      <c r="C25" s="54"/>
      <c r="D25" s="40" t="n">
        <f aca="false">SUM(D17:D24)</f>
        <v>4609</v>
      </c>
      <c r="E25" s="41" t="n">
        <f aca="false">IFERROR(D25/C25,0)</f>
        <v>0</v>
      </c>
      <c r="F25" s="40" t="n">
        <f aca="false">SUM(F17:F24)</f>
        <v>98191</v>
      </c>
      <c r="G25" s="39"/>
      <c r="H25" s="39"/>
      <c r="I25" s="39"/>
      <c r="J25" s="39" t="n">
        <f aca="false">AVERAGE(J17:J24)</f>
        <v>0.874333819103382</v>
      </c>
      <c r="K25" s="39"/>
      <c r="L25" s="39" t="n">
        <f aca="false">AVERAGE(L17:L24)</f>
        <v>7.62566618089662</v>
      </c>
      <c r="M25" s="41" t="n">
        <f aca="false">AVERAGE(M17:M24)</f>
        <v>0.897137197752543</v>
      </c>
    </row>
  </sheetData>
  <mergeCells count="5">
    <mergeCell ref="B2:L2"/>
    <mergeCell ref="B3:L3"/>
    <mergeCell ref="B5:F5"/>
    <mergeCell ref="B15:L15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5"/>
    <col collapsed="false" customWidth="true" hidden="false" outlineLevel="0" max="13" min="3" style="1" width="13"/>
    <col collapsed="false" customWidth="true" hidden="false" outlineLevel="0" max="14" min="14" style="1" width="3"/>
  </cols>
  <sheetData>
    <row r="1" customFormat="false" ht="15" hidden="false" customHeight="true" outlineLevel="0" collapsed="false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customFormat="false" ht="15.75" hidden="false" customHeight="true" outlineLevel="0" collapsed="false">
      <c r="A2" s="20"/>
      <c r="B2" s="44" t="s">
        <v>128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20"/>
    </row>
    <row r="3" customFormat="false" ht="15" hidden="false" customHeight="true" outlineLevel="0" collapsed="false">
      <c r="A3" s="20"/>
      <c r="B3" s="22" t="s">
        <v>129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0"/>
    </row>
    <row r="4" customFormat="false" ht="15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customFormat="false" ht="19.5" hidden="false" customHeight="true" outlineLevel="0" collapsed="false">
      <c r="B5" s="43" t="s">
        <v>130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customFormat="false" ht="18" hidden="false" customHeight="true" outlineLevel="0" collapsed="false">
      <c r="B6" s="55" t="s">
        <v>131</v>
      </c>
      <c r="C6" s="55"/>
      <c r="D6" s="55" t="s">
        <v>132</v>
      </c>
      <c r="E6" s="55"/>
      <c r="F6" s="55" t="s">
        <v>133</v>
      </c>
      <c r="G6" s="55"/>
      <c r="H6" s="55" t="s">
        <v>134</v>
      </c>
      <c r="I6" s="55"/>
      <c r="J6" s="55" t="s">
        <v>135</v>
      </c>
      <c r="K6" s="55"/>
    </row>
    <row r="7" customFormat="false" ht="27.75" hidden="false" customHeight="true" outlineLevel="0" collapsed="false">
      <c r="B7" s="56" t="s">
        <v>136</v>
      </c>
      <c r="C7" s="56"/>
      <c r="D7" s="57" t="s">
        <v>137</v>
      </c>
      <c r="E7" s="57"/>
      <c r="F7" s="57" t="s">
        <v>138</v>
      </c>
      <c r="G7" s="57"/>
      <c r="H7" s="57" t="s">
        <v>139</v>
      </c>
      <c r="I7" s="57"/>
      <c r="J7" s="56" t="s">
        <v>140</v>
      </c>
      <c r="K7" s="56"/>
    </row>
    <row r="8" customFormat="false" ht="13.5" hidden="false" customHeight="true" outlineLevel="0" collapsed="false">
      <c r="B8" s="25" t="s">
        <v>141</v>
      </c>
      <c r="C8" s="25"/>
      <c r="D8" s="58" t="s">
        <v>142</v>
      </c>
      <c r="E8" s="58"/>
      <c r="F8" s="58" t="s">
        <v>143</v>
      </c>
      <c r="G8" s="58"/>
      <c r="H8" s="58" t="s">
        <v>144</v>
      </c>
      <c r="I8" s="58"/>
      <c r="J8" s="25" t="s">
        <v>145</v>
      </c>
      <c r="K8" s="25"/>
    </row>
    <row r="10" customFormat="false" ht="19.5" hidden="false" customHeight="true" outlineLevel="0" collapsed="false">
      <c r="B10" s="26" t="s">
        <v>146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customFormat="false" ht="30" hidden="false" customHeight="true" outlineLevel="0" collapsed="false">
      <c r="B11" s="27" t="s">
        <v>147</v>
      </c>
      <c r="C11" s="27" t="s">
        <v>148</v>
      </c>
      <c r="D11" s="27" t="s">
        <v>55</v>
      </c>
      <c r="E11" s="27" t="s">
        <v>110</v>
      </c>
      <c r="F11" s="27" t="s">
        <v>149</v>
      </c>
      <c r="G11" s="27" t="s">
        <v>150</v>
      </c>
      <c r="H11" s="27" t="s">
        <v>151</v>
      </c>
      <c r="I11" s="27" t="s">
        <v>152</v>
      </c>
      <c r="J11" s="27" t="s">
        <v>153</v>
      </c>
      <c r="K11" s="27" t="s">
        <v>154</v>
      </c>
      <c r="L11" s="27" t="s">
        <v>60</v>
      </c>
      <c r="M11" s="27" t="s">
        <v>155</v>
      </c>
    </row>
    <row r="12" customFormat="false" ht="15.75" hidden="false" customHeight="true" outlineLevel="0" collapsed="false">
      <c r="B12" s="28" t="s">
        <v>156</v>
      </c>
      <c r="C12" s="29" t="n">
        <v>480000</v>
      </c>
      <c r="D12" s="29" t="n">
        <v>27840</v>
      </c>
      <c r="E12" s="59" t="n">
        <v>0.058</v>
      </c>
      <c r="F12" s="30" t="n">
        <v>0.902</v>
      </c>
      <c r="G12" s="30" t="n">
        <v>0.722</v>
      </c>
      <c r="H12" s="31" t="n">
        <v>128.4</v>
      </c>
      <c r="I12" s="30" t="n">
        <v>0.038</v>
      </c>
      <c r="J12" s="31" t="n">
        <v>14.2</v>
      </c>
      <c r="K12" s="30" t="n">
        <v>0.881</v>
      </c>
      <c r="L12" s="30" t="n">
        <v>0.963</v>
      </c>
      <c r="M12" s="37" t="s">
        <v>70</v>
      </c>
    </row>
    <row r="13" customFormat="false" ht="15.75" hidden="false" customHeight="true" outlineLevel="0" collapsed="false">
      <c r="B13" s="33" t="s">
        <v>157</v>
      </c>
      <c r="C13" s="34" t="n">
        <v>512000</v>
      </c>
      <c r="D13" s="34" t="n">
        <v>28723.2</v>
      </c>
      <c r="E13" s="60" t="n">
        <v>0.0561</v>
      </c>
      <c r="F13" s="35" t="n">
        <v>0.908</v>
      </c>
      <c r="G13" s="35" t="n">
        <v>0.731</v>
      </c>
      <c r="H13" s="36" t="n">
        <v>131.8</v>
      </c>
      <c r="I13" s="35" t="n">
        <v>0.036</v>
      </c>
      <c r="J13" s="36" t="n">
        <v>13.1</v>
      </c>
      <c r="K13" s="35" t="n">
        <v>0.888</v>
      </c>
      <c r="L13" s="35" t="n">
        <v>0.967</v>
      </c>
      <c r="M13" s="37" t="s">
        <v>70</v>
      </c>
    </row>
    <row r="14" customFormat="false" ht="15.75" hidden="false" customHeight="true" outlineLevel="0" collapsed="false">
      <c r="B14" s="28" t="s">
        <v>158</v>
      </c>
      <c r="C14" s="29" t="n">
        <v>534000</v>
      </c>
      <c r="D14" s="29" t="n">
        <v>29263.2</v>
      </c>
      <c r="E14" s="59" t="n">
        <v>0.0548</v>
      </c>
      <c r="F14" s="30" t="n">
        <v>0.912</v>
      </c>
      <c r="G14" s="30" t="n">
        <v>0.738</v>
      </c>
      <c r="H14" s="31" t="n">
        <v>134.2</v>
      </c>
      <c r="I14" s="30" t="n">
        <v>0.035</v>
      </c>
      <c r="J14" s="31" t="n">
        <v>12.8</v>
      </c>
      <c r="K14" s="30" t="n">
        <v>0.891</v>
      </c>
      <c r="L14" s="30" t="n">
        <v>0.968</v>
      </c>
      <c r="M14" s="37" t="s">
        <v>70</v>
      </c>
    </row>
    <row r="15" customFormat="false" ht="15.75" hidden="false" customHeight="true" outlineLevel="0" collapsed="false">
      <c r="B15" s="33" t="s">
        <v>159</v>
      </c>
      <c r="C15" s="34" t="n">
        <v>498000</v>
      </c>
      <c r="D15" s="34" t="n">
        <v>27041.4</v>
      </c>
      <c r="E15" s="60" t="n">
        <v>0.0543</v>
      </c>
      <c r="F15" s="35" t="n">
        <v>0.914</v>
      </c>
      <c r="G15" s="35" t="n">
        <v>0.741</v>
      </c>
      <c r="H15" s="36" t="n">
        <v>133.6</v>
      </c>
      <c r="I15" s="35" t="n">
        <v>0.034</v>
      </c>
      <c r="J15" s="36" t="n">
        <v>13.4</v>
      </c>
      <c r="K15" s="35" t="n">
        <v>0.893</v>
      </c>
      <c r="L15" s="35" t="n">
        <v>0.969</v>
      </c>
      <c r="M15" s="37" t="s">
        <v>70</v>
      </c>
    </row>
    <row r="16" customFormat="false" ht="15.75" hidden="false" customHeight="true" outlineLevel="0" collapsed="false">
      <c r="B16" s="28" t="s">
        <v>160</v>
      </c>
      <c r="C16" s="29" t="n">
        <v>521000</v>
      </c>
      <c r="D16" s="29" t="n">
        <v>27821.4</v>
      </c>
      <c r="E16" s="59" t="n">
        <v>0.0534</v>
      </c>
      <c r="F16" s="30" t="n">
        <v>0.916</v>
      </c>
      <c r="G16" s="30" t="n">
        <v>0.748</v>
      </c>
      <c r="H16" s="31" t="n">
        <v>136.1</v>
      </c>
      <c r="I16" s="30" t="n">
        <v>0.033</v>
      </c>
      <c r="J16" s="31" t="n">
        <v>12.2</v>
      </c>
      <c r="K16" s="30" t="n">
        <v>0.895</v>
      </c>
      <c r="L16" s="30" t="n">
        <v>0.97</v>
      </c>
      <c r="M16" s="37" t="s">
        <v>70</v>
      </c>
    </row>
    <row r="17" customFormat="false" ht="15.75" hidden="false" customHeight="true" outlineLevel="0" collapsed="false">
      <c r="B17" s="33" t="s">
        <v>161</v>
      </c>
      <c r="C17" s="34" t="n">
        <v>545000</v>
      </c>
      <c r="D17" s="34" t="n">
        <v>28449</v>
      </c>
      <c r="E17" s="60" t="n">
        <v>0.0522</v>
      </c>
      <c r="F17" s="35" t="n">
        <v>0.919</v>
      </c>
      <c r="G17" s="35" t="n">
        <v>0.754</v>
      </c>
      <c r="H17" s="36" t="n">
        <v>138.4</v>
      </c>
      <c r="I17" s="35" t="n">
        <v>0.032</v>
      </c>
      <c r="J17" s="36" t="n">
        <v>11.8</v>
      </c>
      <c r="K17" s="35" t="n">
        <v>0.898</v>
      </c>
      <c r="L17" s="35" t="n">
        <v>0.971</v>
      </c>
      <c r="M17" s="37" t="s">
        <v>70</v>
      </c>
    </row>
    <row r="18" customFormat="false" ht="15.75" hidden="false" customHeight="true" outlineLevel="0" collapsed="false">
      <c r="B18" s="28" t="s">
        <v>162</v>
      </c>
      <c r="C18" s="29" t="n">
        <v>560000</v>
      </c>
      <c r="D18" s="29" t="n">
        <v>29008</v>
      </c>
      <c r="E18" s="59" t="n">
        <v>0.0518</v>
      </c>
      <c r="F18" s="30" t="n">
        <v>0.921</v>
      </c>
      <c r="G18" s="30" t="n">
        <v>0.758</v>
      </c>
      <c r="H18" s="31" t="n">
        <v>140.2</v>
      </c>
      <c r="I18" s="30" t="n">
        <v>0.032</v>
      </c>
      <c r="J18" s="31" t="n">
        <v>11.5</v>
      </c>
      <c r="K18" s="30" t="n">
        <v>0.9</v>
      </c>
      <c r="L18" s="30" t="n">
        <v>0.972</v>
      </c>
      <c r="M18" s="38" t="s">
        <v>89</v>
      </c>
    </row>
    <row r="19" customFormat="false" ht="15.75" hidden="false" customHeight="true" outlineLevel="0" collapsed="false">
      <c r="B19" s="33" t="s">
        <v>163</v>
      </c>
      <c r="C19" s="34" t="n">
        <v>538000</v>
      </c>
      <c r="D19" s="34" t="n">
        <v>27491.8</v>
      </c>
      <c r="E19" s="60" t="n">
        <v>0.0511</v>
      </c>
      <c r="F19" s="35" t="n">
        <v>0.922</v>
      </c>
      <c r="G19" s="35" t="n">
        <v>0.762</v>
      </c>
      <c r="H19" s="36" t="n">
        <v>141.8</v>
      </c>
      <c r="I19" s="35" t="n">
        <v>0.031</v>
      </c>
      <c r="J19" s="36" t="n">
        <v>11.1</v>
      </c>
      <c r="K19" s="35" t="n">
        <v>0.902</v>
      </c>
      <c r="L19" s="35" t="n">
        <v>0.973</v>
      </c>
      <c r="M19" s="38" t="s">
        <v>89</v>
      </c>
    </row>
    <row r="20" customFormat="false" ht="15.75" hidden="false" customHeight="true" outlineLevel="0" collapsed="false">
      <c r="B20" s="28" t="s">
        <v>164</v>
      </c>
      <c r="C20" s="29" t="n">
        <v>558000</v>
      </c>
      <c r="D20" s="29" t="n">
        <v>28123.2</v>
      </c>
      <c r="E20" s="59" t="n">
        <v>0.0504</v>
      </c>
      <c r="F20" s="30" t="n">
        <v>0.923</v>
      </c>
      <c r="G20" s="30" t="n">
        <v>0.768</v>
      </c>
      <c r="H20" s="31" t="n">
        <v>143.6</v>
      </c>
      <c r="I20" s="30" t="n">
        <v>0.03</v>
      </c>
      <c r="J20" s="31" t="n">
        <v>10.8</v>
      </c>
      <c r="K20" s="30" t="n">
        <v>0.905</v>
      </c>
      <c r="L20" s="30" t="n">
        <v>0.974</v>
      </c>
      <c r="M20" s="38" t="s">
        <v>89</v>
      </c>
    </row>
    <row r="21" customFormat="false" ht="15.75" hidden="false" customHeight="true" outlineLevel="0" collapsed="false">
      <c r="B21" s="33" t="s">
        <v>165</v>
      </c>
      <c r="C21" s="34" t="n">
        <v>572000</v>
      </c>
      <c r="D21" s="34" t="n">
        <v>28485.6</v>
      </c>
      <c r="E21" s="60" t="n">
        <v>0.0498</v>
      </c>
      <c r="F21" s="35" t="n">
        <v>0.925</v>
      </c>
      <c r="G21" s="35" t="n">
        <v>0.774</v>
      </c>
      <c r="H21" s="36" t="n">
        <v>145.1</v>
      </c>
      <c r="I21" s="35" t="n">
        <v>0.029</v>
      </c>
      <c r="J21" s="36" t="n">
        <v>10.4</v>
      </c>
      <c r="K21" s="35" t="n">
        <v>0.908</v>
      </c>
      <c r="L21" s="35" t="n">
        <v>0.975</v>
      </c>
      <c r="M21" s="38" t="s">
        <v>89</v>
      </c>
    </row>
    <row r="22" customFormat="false" ht="15.75" hidden="false" customHeight="true" outlineLevel="0" collapsed="false">
      <c r="B22" s="28" t="s">
        <v>166</v>
      </c>
      <c r="C22" s="29" t="n">
        <v>548000</v>
      </c>
      <c r="D22" s="29" t="n">
        <v>26961.6</v>
      </c>
      <c r="E22" s="59" t="n">
        <v>0.0492</v>
      </c>
      <c r="F22" s="30" t="n">
        <v>0.927</v>
      </c>
      <c r="G22" s="30" t="n">
        <v>0.778</v>
      </c>
      <c r="H22" s="31" t="n">
        <v>146.3</v>
      </c>
      <c r="I22" s="30" t="n">
        <v>0.029</v>
      </c>
      <c r="J22" s="31" t="n">
        <v>10.1</v>
      </c>
      <c r="K22" s="30" t="n">
        <v>0.911</v>
      </c>
      <c r="L22" s="30" t="n">
        <v>0.976</v>
      </c>
      <c r="M22" s="38" t="s">
        <v>89</v>
      </c>
    </row>
    <row r="23" customFormat="false" ht="15.75" hidden="false" customHeight="true" outlineLevel="0" collapsed="false">
      <c r="B23" s="33" t="s">
        <v>167</v>
      </c>
      <c r="C23" s="34" t="n">
        <v>561000</v>
      </c>
      <c r="D23" s="34" t="n">
        <v>27208.5</v>
      </c>
      <c r="E23" s="60" t="n">
        <v>0.0485</v>
      </c>
      <c r="F23" s="35" t="n">
        <v>0.929</v>
      </c>
      <c r="G23" s="35" t="n">
        <v>0.781</v>
      </c>
      <c r="H23" s="36" t="n">
        <v>148.9</v>
      </c>
      <c r="I23" s="35" t="n">
        <v>0.028</v>
      </c>
      <c r="J23" s="36" t="n">
        <v>9.8</v>
      </c>
      <c r="K23" s="35" t="n">
        <v>0.914</v>
      </c>
      <c r="L23" s="35" t="n">
        <v>0.977</v>
      </c>
      <c r="M23" s="38" t="s">
        <v>89</v>
      </c>
    </row>
    <row r="24" customFormat="false" ht="18" hidden="false" customHeight="true" outlineLevel="0" collapsed="false">
      <c r="B24" s="54" t="s">
        <v>168</v>
      </c>
      <c r="C24" s="54"/>
      <c r="D24" s="40" t="n">
        <f aca="false">SUM(D12:D23)</f>
        <v>336416.9</v>
      </c>
      <c r="E24" s="61" t="n">
        <f aca="false">IFERROR(D24/C24,0)</f>
        <v>0</v>
      </c>
      <c r="F24" s="41" t="n">
        <f aca="false">AVERAGE(F12:F23)</f>
        <v>0.918166666666667</v>
      </c>
      <c r="G24" s="41" t="n">
        <f aca="false">AVERAGE(G12:G23)</f>
        <v>0.754583333333333</v>
      </c>
      <c r="H24" s="42" t="n">
        <f aca="false">AVERAGE(H12:H23)</f>
        <v>139.033333333333</v>
      </c>
      <c r="I24" s="39"/>
      <c r="J24" s="39"/>
      <c r="K24" s="39"/>
      <c r="L24" s="39"/>
      <c r="M24" s="39"/>
    </row>
    <row r="26" customFormat="false" ht="19.5" hidden="false" customHeight="true" outlineLevel="0" collapsed="false">
      <c r="B26" s="43" t="s">
        <v>169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</row>
  </sheetData>
  <mergeCells count="21">
    <mergeCell ref="B2:M2"/>
    <mergeCell ref="B3:M3"/>
    <mergeCell ref="B5:M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10:M10"/>
    <mergeCell ref="B24:C24"/>
    <mergeCell ref="B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fals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13" min="3" style="1" width="11"/>
    <col collapsed="false" customWidth="true" hidden="false" outlineLevel="0" max="14" min="14" style="1" width="3"/>
  </cols>
  <sheetData>
    <row r="1" customFormat="false" ht="15" hidden="false" customHeight="true" outlineLevel="0" collapsed="false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customFormat="false" ht="15.75" hidden="false" customHeight="true" outlineLevel="0" collapsed="false">
      <c r="A2" s="20"/>
      <c r="B2" s="44" t="s">
        <v>170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20"/>
    </row>
    <row r="3" customFormat="false" ht="15" hidden="false" customHeight="true" outlineLevel="0" collapsed="false">
      <c r="A3" s="20"/>
      <c r="B3" s="22" t="s">
        <v>171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0"/>
    </row>
    <row r="4" customFormat="false" ht="15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customFormat="false" ht="19.5" hidden="false" customHeight="true" outlineLevel="0" collapsed="false">
      <c r="B5" s="45" t="s">
        <v>172</v>
      </c>
      <c r="C5" s="45"/>
      <c r="D5" s="45"/>
      <c r="E5" s="45"/>
      <c r="F5" s="45"/>
      <c r="G5" s="45"/>
    </row>
    <row r="6" customFormat="false" ht="15.75" hidden="false" customHeight="true" outlineLevel="0" collapsed="false">
      <c r="B6" s="46" t="s">
        <v>173</v>
      </c>
      <c r="C6" s="62" t="s">
        <v>174</v>
      </c>
    </row>
    <row r="7" customFormat="false" ht="15.75" hidden="false" customHeight="true" outlineLevel="0" collapsed="false">
      <c r="B7" s="46" t="s">
        <v>175</v>
      </c>
      <c r="C7" s="62" t="s">
        <v>176</v>
      </c>
    </row>
    <row r="8" customFormat="false" ht="15.75" hidden="false" customHeight="true" outlineLevel="0" collapsed="false">
      <c r="B8" s="46" t="s">
        <v>177</v>
      </c>
      <c r="C8" s="62" t="s">
        <v>178</v>
      </c>
    </row>
    <row r="9" customFormat="false" ht="15.75" hidden="false" customHeight="true" outlineLevel="0" collapsed="false">
      <c r="B9" s="46" t="s">
        <v>179</v>
      </c>
      <c r="C9" s="62" t="s">
        <v>180</v>
      </c>
    </row>
    <row r="10" customFormat="false" ht="15.75" hidden="false" customHeight="true" outlineLevel="0" collapsed="false">
      <c r="B10" s="46" t="s">
        <v>181</v>
      </c>
      <c r="C10" s="62" t="s">
        <v>182</v>
      </c>
    </row>
    <row r="11" customFormat="false" ht="15.75" hidden="false" customHeight="true" outlineLevel="0" collapsed="false">
      <c r="B11" s="46" t="s">
        <v>183</v>
      </c>
      <c r="C11" s="62" t="s">
        <v>184</v>
      </c>
    </row>
    <row r="13" customFormat="false" ht="19.5" hidden="false" customHeight="true" outlineLevel="0" collapsed="false">
      <c r="B13" s="26" t="s">
        <v>185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customFormat="false" ht="30" hidden="false" customHeight="true" outlineLevel="0" collapsed="false">
      <c r="B14" s="27" t="s">
        <v>186</v>
      </c>
      <c r="C14" s="27" t="s">
        <v>187</v>
      </c>
      <c r="D14" s="27" t="s">
        <v>188</v>
      </c>
      <c r="E14" s="27" t="s">
        <v>189</v>
      </c>
      <c r="F14" s="27" t="s">
        <v>190</v>
      </c>
      <c r="G14" s="27" t="s">
        <v>191</v>
      </c>
      <c r="H14" s="27" t="s">
        <v>192</v>
      </c>
      <c r="I14" s="27" t="s">
        <v>193</v>
      </c>
      <c r="J14" s="27" t="s">
        <v>194</v>
      </c>
      <c r="K14" s="27" t="s">
        <v>195</v>
      </c>
      <c r="L14" s="27" t="s">
        <v>196</v>
      </c>
      <c r="M14" s="27" t="s">
        <v>197</v>
      </c>
    </row>
    <row r="15" customFormat="false" ht="15" hidden="false" customHeight="true" outlineLevel="0" collapsed="false">
      <c r="B15" s="28" t="s">
        <v>198</v>
      </c>
      <c r="C15" s="63" t="n">
        <v>0.05142</v>
      </c>
      <c r="D15" s="63" t="n">
        <v>0.05131</v>
      </c>
      <c r="E15" s="63" t="n">
        <v>0.05155</v>
      </c>
      <c r="F15" s="63" t="n">
        <v>0.05481</v>
      </c>
      <c r="G15" s="63" t="n">
        <v>0.05149</v>
      </c>
      <c r="H15" s="64" t="n">
        <v>0.052116</v>
      </c>
      <c r="I15" s="64" t="n">
        <v>0.0035</v>
      </c>
      <c r="J15" s="63" t="n">
        <v>0.0500577896</v>
      </c>
      <c r="K15" s="63" t="n">
        <v>0.0399201304</v>
      </c>
      <c r="L15" s="63" t="n">
        <v>0.0185710672</v>
      </c>
      <c r="M15" s="32" t="s">
        <v>199</v>
      </c>
    </row>
    <row r="16" customFormat="false" ht="15" hidden="false" customHeight="true" outlineLevel="0" collapsed="false">
      <c r="B16" s="33" t="s">
        <v>200</v>
      </c>
      <c r="C16" s="65" t="n">
        <v>0.04541</v>
      </c>
      <c r="D16" s="65" t="n">
        <v>0.05273</v>
      </c>
      <c r="E16" s="65" t="n">
        <v>0.05033</v>
      </c>
      <c r="F16" s="65" t="n">
        <v>0.05053</v>
      </c>
      <c r="G16" s="65" t="n">
        <v>0.05186</v>
      </c>
      <c r="H16" s="64" t="n">
        <v>0.050172</v>
      </c>
      <c r="I16" s="64" t="n">
        <v>0.00732</v>
      </c>
      <c r="J16" s="65" t="n">
        <v>0.0500577896</v>
      </c>
      <c r="K16" s="65" t="n">
        <v>0.0399201304</v>
      </c>
      <c r="L16" s="65" t="n">
        <v>0.0185710672</v>
      </c>
      <c r="M16" s="32" t="s">
        <v>199</v>
      </c>
    </row>
    <row r="17" customFormat="false" ht="15" hidden="false" customHeight="true" outlineLevel="0" collapsed="false">
      <c r="B17" s="28" t="s">
        <v>201</v>
      </c>
      <c r="C17" s="63" t="n">
        <v>0.05173</v>
      </c>
      <c r="D17" s="63" t="n">
        <v>0.05545</v>
      </c>
      <c r="E17" s="63" t="n">
        <v>0.05343</v>
      </c>
      <c r="F17" s="63" t="n">
        <v>0.05124</v>
      </c>
      <c r="G17" s="63" t="n">
        <v>0.04785</v>
      </c>
      <c r="H17" s="64" t="n">
        <v>0.05194</v>
      </c>
      <c r="I17" s="64" t="n">
        <v>0.0076</v>
      </c>
      <c r="J17" s="63" t="n">
        <v>0.0500577896</v>
      </c>
      <c r="K17" s="63" t="n">
        <v>0.0399201304</v>
      </c>
      <c r="L17" s="63" t="n">
        <v>0.0185710672</v>
      </c>
      <c r="M17" s="32" t="s">
        <v>199</v>
      </c>
    </row>
    <row r="18" customFormat="false" ht="15" hidden="false" customHeight="true" outlineLevel="0" collapsed="false">
      <c r="B18" s="33" t="s">
        <v>202</v>
      </c>
      <c r="C18" s="65" t="n">
        <v>0.04614</v>
      </c>
      <c r="D18" s="65" t="n">
        <v>0.05119</v>
      </c>
      <c r="E18" s="65" t="n">
        <v>0.05544</v>
      </c>
      <c r="F18" s="65" t="n">
        <v>0.05037</v>
      </c>
      <c r="G18" s="65" t="n">
        <v>0.04977</v>
      </c>
      <c r="H18" s="64" t="n">
        <v>0.050582</v>
      </c>
      <c r="I18" s="64" t="n">
        <v>0.0093</v>
      </c>
      <c r="J18" s="65" t="n">
        <v>0.0500577896</v>
      </c>
      <c r="K18" s="65" t="n">
        <v>0.0399201304</v>
      </c>
      <c r="L18" s="65" t="n">
        <v>0.0185710672</v>
      </c>
      <c r="M18" s="32" t="s">
        <v>199</v>
      </c>
    </row>
    <row r="19" customFormat="false" ht="15" hidden="false" customHeight="true" outlineLevel="0" collapsed="false">
      <c r="B19" s="28" t="s">
        <v>203</v>
      </c>
      <c r="C19" s="63" t="n">
        <v>0.05173</v>
      </c>
      <c r="D19" s="63" t="n">
        <v>0.04379</v>
      </c>
      <c r="E19" s="63" t="n">
        <v>0.04835</v>
      </c>
      <c r="F19" s="63" t="n">
        <v>0.05156</v>
      </c>
      <c r="G19" s="63" t="n">
        <v>0.05309</v>
      </c>
      <c r="H19" s="64" t="n">
        <v>0.049704</v>
      </c>
      <c r="I19" s="64" t="n">
        <v>0.0093</v>
      </c>
      <c r="J19" s="63" t="n">
        <v>0.0500577896</v>
      </c>
      <c r="K19" s="63" t="n">
        <v>0.0399201304</v>
      </c>
      <c r="L19" s="63" t="n">
        <v>0.0185710672</v>
      </c>
      <c r="M19" s="38" t="s">
        <v>204</v>
      </c>
    </row>
    <row r="20" customFormat="false" ht="15" hidden="false" customHeight="true" outlineLevel="0" collapsed="false">
      <c r="B20" s="33" t="s">
        <v>205</v>
      </c>
      <c r="C20" s="65" t="n">
        <v>0.04804</v>
      </c>
      <c r="D20" s="65" t="n">
        <v>0.05051</v>
      </c>
      <c r="E20" s="65" t="n">
        <v>0.04999</v>
      </c>
      <c r="F20" s="65" t="n">
        <v>0.05213</v>
      </c>
      <c r="G20" s="65" t="n">
        <v>0.04455</v>
      </c>
      <c r="H20" s="64" t="n">
        <v>0.049044</v>
      </c>
      <c r="I20" s="64" t="n">
        <v>0.00758</v>
      </c>
      <c r="J20" s="65" t="n">
        <v>0.0500577896</v>
      </c>
      <c r="K20" s="65" t="n">
        <v>0.0399201304</v>
      </c>
      <c r="L20" s="65" t="n">
        <v>0.0185710672</v>
      </c>
      <c r="M20" s="38" t="s">
        <v>204</v>
      </c>
    </row>
    <row r="21" customFormat="false" ht="15" hidden="false" customHeight="true" outlineLevel="0" collapsed="false">
      <c r="B21" s="28" t="s">
        <v>206</v>
      </c>
      <c r="C21" s="63" t="n">
        <v>0.05067</v>
      </c>
      <c r="D21" s="63" t="n">
        <v>0.04234</v>
      </c>
      <c r="E21" s="63" t="n">
        <v>0.03792</v>
      </c>
      <c r="F21" s="63" t="n">
        <v>0.04597</v>
      </c>
      <c r="G21" s="63" t="n">
        <v>0.04474</v>
      </c>
      <c r="H21" s="64" t="n">
        <v>0.044328</v>
      </c>
      <c r="I21" s="64" t="n">
        <v>0.01275</v>
      </c>
      <c r="J21" s="63" t="n">
        <v>0.0500577896</v>
      </c>
      <c r="K21" s="63" t="n">
        <v>0.0399201304</v>
      </c>
      <c r="L21" s="63" t="n">
        <v>0.0185710672</v>
      </c>
      <c r="M21" s="38" t="s">
        <v>204</v>
      </c>
    </row>
    <row r="22" customFormat="false" ht="15" hidden="false" customHeight="true" outlineLevel="0" collapsed="false">
      <c r="B22" s="33" t="s">
        <v>207</v>
      </c>
      <c r="C22" s="65" t="n">
        <v>0.0513</v>
      </c>
      <c r="D22" s="65" t="n">
        <v>0.05046</v>
      </c>
      <c r="E22" s="65" t="n">
        <v>0.04292</v>
      </c>
      <c r="F22" s="65" t="n">
        <v>0.05119</v>
      </c>
      <c r="G22" s="65" t="n">
        <v>0.04379</v>
      </c>
      <c r="H22" s="64" t="n">
        <v>0.047932</v>
      </c>
      <c r="I22" s="64" t="n">
        <v>0.00838</v>
      </c>
      <c r="J22" s="65" t="n">
        <v>0.0500577896</v>
      </c>
      <c r="K22" s="65" t="n">
        <v>0.0399201304</v>
      </c>
      <c r="L22" s="65" t="n">
        <v>0.0185710672</v>
      </c>
      <c r="M22" s="38" t="s">
        <v>204</v>
      </c>
    </row>
    <row r="23" customFormat="false" ht="15" hidden="false" customHeight="true" outlineLevel="0" collapsed="false">
      <c r="B23" s="28" t="s">
        <v>208</v>
      </c>
      <c r="C23" s="63" t="n">
        <v>0.04686</v>
      </c>
      <c r="D23" s="63" t="n">
        <v>0.04602</v>
      </c>
      <c r="E23" s="63" t="n">
        <v>0.04766</v>
      </c>
      <c r="F23" s="63" t="n">
        <v>0.05047</v>
      </c>
      <c r="G23" s="63" t="n">
        <v>0.04975</v>
      </c>
      <c r="H23" s="64" t="n">
        <v>0.048152</v>
      </c>
      <c r="I23" s="64" t="n">
        <v>0.00445</v>
      </c>
      <c r="J23" s="63" t="n">
        <v>0.0500577896</v>
      </c>
      <c r="K23" s="63" t="n">
        <v>0.0399201304</v>
      </c>
      <c r="L23" s="63" t="n">
        <v>0.0185710672</v>
      </c>
      <c r="M23" s="38" t="s">
        <v>204</v>
      </c>
    </row>
    <row r="24" customFormat="false" ht="15" hidden="false" customHeight="true" outlineLevel="0" collapsed="false">
      <c r="B24" s="33" t="s">
        <v>209</v>
      </c>
      <c r="C24" s="65" t="n">
        <v>0.048</v>
      </c>
      <c r="D24" s="65" t="n">
        <v>0.0492</v>
      </c>
      <c r="E24" s="65" t="n">
        <v>0.04851</v>
      </c>
      <c r="F24" s="65" t="n">
        <v>0.04409</v>
      </c>
      <c r="G24" s="65" t="n">
        <v>0.04373</v>
      </c>
      <c r="H24" s="64" t="n">
        <v>0.046706</v>
      </c>
      <c r="I24" s="64" t="n">
        <v>0.00547</v>
      </c>
      <c r="J24" s="65" t="n">
        <v>0.0500577896</v>
      </c>
      <c r="K24" s="65" t="n">
        <v>0.0399201304</v>
      </c>
      <c r="L24" s="65" t="n">
        <v>0.0185710672</v>
      </c>
      <c r="M24" s="38" t="s">
        <v>204</v>
      </c>
    </row>
    <row r="25" customFormat="false" ht="15" hidden="false" customHeight="true" outlineLevel="0" collapsed="false">
      <c r="B25" s="28" t="s">
        <v>210</v>
      </c>
      <c r="C25" s="63" t="n">
        <v>0.04412</v>
      </c>
      <c r="D25" s="63" t="n">
        <v>0.048</v>
      </c>
      <c r="E25" s="63" t="n">
        <v>0.045</v>
      </c>
      <c r="F25" s="63" t="n">
        <v>0.05534</v>
      </c>
      <c r="G25" s="63" t="n">
        <v>0.04272</v>
      </c>
      <c r="H25" s="64" t="n">
        <v>0.047036</v>
      </c>
      <c r="I25" s="64" t="n">
        <v>0.01262</v>
      </c>
      <c r="J25" s="63" t="n">
        <v>0.0500577896</v>
      </c>
      <c r="K25" s="63" t="n">
        <v>0.0399201304</v>
      </c>
      <c r="L25" s="63" t="n">
        <v>0.0185710672</v>
      </c>
      <c r="M25" s="38" t="s">
        <v>204</v>
      </c>
    </row>
    <row r="26" customFormat="false" ht="15" hidden="false" customHeight="true" outlineLevel="0" collapsed="false">
      <c r="B26" s="33" t="s">
        <v>211</v>
      </c>
      <c r="C26" s="65" t="n">
        <v>0.041</v>
      </c>
      <c r="D26" s="65" t="n">
        <v>0.04847</v>
      </c>
      <c r="E26" s="65" t="n">
        <v>0.05109</v>
      </c>
      <c r="F26" s="65" t="n">
        <v>0.04742</v>
      </c>
      <c r="G26" s="65" t="n">
        <v>0.04874</v>
      </c>
      <c r="H26" s="64" t="n">
        <v>0.047344</v>
      </c>
      <c r="I26" s="64" t="n">
        <v>0.01009</v>
      </c>
      <c r="J26" s="65" t="n">
        <v>0.0500577896</v>
      </c>
      <c r="K26" s="65" t="n">
        <v>0.0399201304</v>
      </c>
      <c r="L26" s="65" t="n">
        <v>0.0185710672</v>
      </c>
      <c r="M26" s="38" t="s">
        <v>204</v>
      </c>
    </row>
    <row r="27" customFormat="false" ht="15" hidden="false" customHeight="true" outlineLevel="0" collapsed="false">
      <c r="B27" s="28" t="s">
        <v>212</v>
      </c>
      <c r="C27" s="63" t="n">
        <v>0.05051</v>
      </c>
      <c r="D27" s="63" t="n">
        <v>0.04442</v>
      </c>
      <c r="E27" s="63" t="n">
        <v>0.03911</v>
      </c>
      <c r="F27" s="63" t="n">
        <v>0.04267</v>
      </c>
      <c r="G27" s="63" t="n">
        <v>0.04861</v>
      </c>
      <c r="H27" s="64" t="n">
        <v>0.045064</v>
      </c>
      <c r="I27" s="64" t="n">
        <v>0.0114</v>
      </c>
      <c r="J27" s="63" t="n">
        <v>0.0500577896</v>
      </c>
      <c r="K27" s="63" t="n">
        <v>0.0399201304</v>
      </c>
      <c r="L27" s="63" t="n">
        <v>0.0185710672</v>
      </c>
      <c r="M27" s="38" t="s">
        <v>204</v>
      </c>
    </row>
    <row r="28" customFormat="false" ht="15" hidden="false" customHeight="true" outlineLevel="0" collapsed="false">
      <c r="B28" s="33" t="s">
        <v>213</v>
      </c>
      <c r="C28" s="65" t="n">
        <v>0.03843</v>
      </c>
      <c r="D28" s="65" t="n">
        <v>0.04433</v>
      </c>
      <c r="E28" s="65" t="n">
        <v>0.04521</v>
      </c>
      <c r="F28" s="65" t="n">
        <v>0.04294</v>
      </c>
      <c r="G28" s="65" t="n">
        <v>0.04709</v>
      </c>
      <c r="H28" s="64" t="n">
        <v>0.0436</v>
      </c>
      <c r="I28" s="64" t="n">
        <v>0.00866</v>
      </c>
      <c r="J28" s="65" t="n">
        <v>0.0500577896</v>
      </c>
      <c r="K28" s="65" t="n">
        <v>0.0399201304</v>
      </c>
      <c r="L28" s="65" t="n">
        <v>0.0185710672</v>
      </c>
      <c r="M28" s="38" t="s">
        <v>204</v>
      </c>
    </row>
    <row r="29" customFormat="false" ht="15" hidden="false" customHeight="true" outlineLevel="0" collapsed="false">
      <c r="B29" s="28" t="s">
        <v>214</v>
      </c>
      <c r="C29" s="63" t="n">
        <v>0.04592</v>
      </c>
      <c r="D29" s="63" t="n">
        <v>0.05289</v>
      </c>
      <c r="E29" s="63" t="n">
        <v>0.04608</v>
      </c>
      <c r="F29" s="63" t="n">
        <v>0.04116</v>
      </c>
      <c r="G29" s="63" t="n">
        <v>0.04135</v>
      </c>
      <c r="H29" s="64" t="n">
        <v>0.04548</v>
      </c>
      <c r="I29" s="64" t="n">
        <v>0.01173</v>
      </c>
      <c r="J29" s="63" t="n">
        <v>0.0500577896</v>
      </c>
      <c r="K29" s="63" t="n">
        <v>0.0399201304</v>
      </c>
      <c r="L29" s="63" t="n">
        <v>0.0185710672</v>
      </c>
      <c r="M29" s="38" t="s">
        <v>204</v>
      </c>
    </row>
    <row r="30" customFormat="false" ht="15" hidden="false" customHeight="true" outlineLevel="0" collapsed="false">
      <c r="B30" s="33" t="s">
        <v>215</v>
      </c>
      <c r="C30" s="65" t="n">
        <v>0.03967</v>
      </c>
      <c r="D30" s="65" t="n">
        <v>0.04681</v>
      </c>
      <c r="E30" s="65" t="n">
        <v>0.04073</v>
      </c>
      <c r="F30" s="65" t="n">
        <v>0.04272</v>
      </c>
      <c r="G30" s="65" t="n">
        <v>0.046</v>
      </c>
      <c r="H30" s="64" t="n">
        <v>0.043186</v>
      </c>
      <c r="I30" s="64" t="n">
        <v>0.00714</v>
      </c>
      <c r="J30" s="65" t="n">
        <v>0.0500577896</v>
      </c>
      <c r="K30" s="65" t="n">
        <v>0.0399201304</v>
      </c>
      <c r="L30" s="65" t="n">
        <v>0.0185710672</v>
      </c>
      <c r="M30" s="38" t="s">
        <v>204</v>
      </c>
    </row>
    <row r="31" customFormat="false" ht="15" hidden="false" customHeight="true" outlineLevel="0" collapsed="false">
      <c r="B31" s="28" t="s">
        <v>216</v>
      </c>
      <c r="C31" s="63" t="n">
        <v>0.03951</v>
      </c>
      <c r="D31" s="63" t="n">
        <v>0.04123</v>
      </c>
      <c r="E31" s="63" t="n">
        <v>0.03503</v>
      </c>
      <c r="F31" s="63" t="n">
        <v>0.03807</v>
      </c>
      <c r="G31" s="63" t="n">
        <v>0.04013</v>
      </c>
      <c r="H31" s="64" t="n">
        <v>0.038794</v>
      </c>
      <c r="I31" s="64" t="n">
        <v>0.0062</v>
      </c>
      <c r="J31" s="63" t="n">
        <v>0.0500577896</v>
      </c>
      <c r="K31" s="63" t="n">
        <v>0.0399201304</v>
      </c>
      <c r="L31" s="63" t="n">
        <v>0.0185710672</v>
      </c>
      <c r="M31" s="32" t="s">
        <v>199</v>
      </c>
    </row>
    <row r="32" customFormat="false" ht="15" hidden="false" customHeight="true" outlineLevel="0" collapsed="false">
      <c r="B32" s="33" t="s">
        <v>217</v>
      </c>
      <c r="C32" s="65" t="n">
        <v>0.04346</v>
      </c>
      <c r="D32" s="65" t="n">
        <v>0.04657</v>
      </c>
      <c r="E32" s="65" t="n">
        <v>0.04173</v>
      </c>
      <c r="F32" s="65" t="n">
        <v>0.04285</v>
      </c>
      <c r="G32" s="65" t="n">
        <v>0.04247</v>
      </c>
      <c r="H32" s="64" t="n">
        <v>0.043416</v>
      </c>
      <c r="I32" s="64" t="n">
        <v>0.00484</v>
      </c>
      <c r="J32" s="65" t="n">
        <v>0.0500577896</v>
      </c>
      <c r="K32" s="65" t="n">
        <v>0.0399201304</v>
      </c>
      <c r="L32" s="65" t="n">
        <v>0.0185710672</v>
      </c>
      <c r="M32" s="38" t="s">
        <v>204</v>
      </c>
    </row>
    <row r="33" customFormat="false" ht="15" hidden="false" customHeight="true" outlineLevel="0" collapsed="false">
      <c r="B33" s="28" t="s">
        <v>218</v>
      </c>
      <c r="C33" s="63" t="n">
        <v>0.04554</v>
      </c>
      <c r="D33" s="63" t="n">
        <v>0.04477</v>
      </c>
      <c r="E33" s="63" t="n">
        <v>0.04229</v>
      </c>
      <c r="F33" s="63" t="n">
        <v>0.03716</v>
      </c>
      <c r="G33" s="63" t="n">
        <v>0.04481</v>
      </c>
      <c r="H33" s="64" t="n">
        <v>0.042914</v>
      </c>
      <c r="I33" s="64" t="n">
        <v>0.00838</v>
      </c>
      <c r="J33" s="63" t="n">
        <v>0.0500577896</v>
      </c>
      <c r="K33" s="63" t="n">
        <v>0.0399201304</v>
      </c>
      <c r="L33" s="63" t="n">
        <v>0.0185710672</v>
      </c>
      <c r="M33" s="38" t="s">
        <v>204</v>
      </c>
    </row>
    <row r="34" customFormat="false" ht="15" hidden="false" customHeight="true" outlineLevel="0" collapsed="false">
      <c r="B34" s="33" t="s">
        <v>219</v>
      </c>
      <c r="C34" s="65" t="n">
        <v>0.04212</v>
      </c>
      <c r="D34" s="65" t="n">
        <v>0.04551</v>
      </c>
      <c r="E34" s="65" t="n">
        <v>0.04048</v>
      </c>
      <c r="F34" s="65" t="n">
        <v>0.04841</v>
      </c>
      <c r="G34" s="65" t="n">
        <v>0.03916</v>
      </c>
      <c r="H34" s="64" t="n">
        <v>0.043136</v>
      </c>
      <c r="I34" s="64" t="n">
        <v>0.00925</v>
      </c>
      <c r="J34" s="65" t="n">
        <v>0.0500577896</v>
      </c>
      <c r="K34" s="65" t="n">
        <v>0.0399201304</v>
      </c>
      <c r="L34" s="65" t="n">
        <v>0.0185710672</v>
      </c>
      <c r="M34" s="38" t="s">
        <v>204</v>
      </c>
    </row>
    <row r="35" customFormat="false" ht="15" hidden="false" customHeight="true" outlineLevel="0" collapsed="false">
      <c r="B35" s="28" t="s">
        <v>220</v>
      </c>
      <c r="C35" s="63" t="n">
        <v>0.04637</v>
      </c>
      <c r="D35" s="63" t="n">
        <v>0.04046</v>
      </c>
      <c r="E35" s="63" t="n">
        <v>0.03793</v>
      </c>
      <c r="F35" s="63" t="n">
        <v>0.03549</v>
      </c>
      <c r="G35" s="63" t="n">
        <v>0.0394</v>
      </c>
      <c r="H35" s="64" t="n">
        <v>0.03993</v>
      </c>
      <c r="I35" s="64" t="n">
        <v>0.01088</v>
      </c>
      <c r="J35" s="63" t="n">
        <v>0.0500577896</v>
      </c>
      <c r="K35" s="63" t="n">
        <v>0.0399201304</v>
      </c>
      <c r="L35" s="63" t="n">
        <v>0.0185710672</v>
      </c>
      <c r="M35" s="38" t="s">
        <v>204</v>
      </c>
    </row>
    <row r="36" customFormat="false" ht="15" hidden="false" customHeight="true" outlineLevel="0" collapsed="false">
      <c r="B36" s="33" t="s">
        <v>221</v>
      </c>
      <c r="C36" s="65" t="n">
        <v>0.04509</v>
      </c>
      <c r="D36" s="65" t="n">
        <v>0.04267</v>
      </c>
      <c r="E36" s="65" t="n">
        <v>0.04216</v>
      </c>
      <c r="F36" s="65" t="n">
        <v>0.0299</v>
      </c>
      <c r="G36" s="65" t="n">
        <v>0.04224</v>
      </c>
      <c r="H36" s="64" t="n">
        <v>0.040412</v>
      </c>
      <c r="I36" s="64" t="n">
        <v>0.01519</v>
      </c>
      <c r="J36" s="65" t="n">
        <v>0.0500577896</v>
      </c>
      <c r="K36" s="65" t="n">
        <v>0.0399201304</v>
      </c>
      <c r="L36" s="65" t="n">
        <v>0.0185710672</v>
      </c>
      <c r="M36" s="38" t="s">
        <v>204</v>
      </c>
    </row>
    <row r="37" customFormat="false" ht="15" hidden="false" customHeight="true" outlineLevel="0" collapsed="false">
      <c r="B37" s="28" t="s">
        <v>222</v>
      </c>
      <c r="C37" s="63" t="n">
        <v>0.04102</v>
      </c>
      <c r="D37" s="63" t="n">
        <v>0.0366</v>
      </c>
      <c r="E37" s="63" t="n">
        <v>0.03629</v>
      </c>
      <c r="F37" s="63" t="n">
        <v>0.03879</v>
      </c>
      <c r="G37" s="63" t="n">
        <v>0.0457</v>
      </c>
      <c r="H37" s="64" t="n">
        <v>0.03968</v>
      </c>
      <c r="I37" s="64" t="n">
        <v>0.00941</v>
      </c>
      <c r="J37" s="63" t="n">
        <v>0.0500577896</v>
      </c>
      <c r="K37" s="63" t="n">
        <v>0.0399201304</v>
      </c>
      <c r="L37" s="63" t="n">
        <v>0.0185710672</v>
      </c>
      <c r="M37" s="32" t="s">
        <v>199</v>
      </c>
    </row>
    <row r="38" customFormat="false" ht="15" hidden="false" customHeight="true" outlineLevel="0" collapsed="false">
      <c r="B38" s="33" t="s">
        <v>223</v>
      </c>
      <c r="C38" s="65" t="n">
        <v>0.03398</v>
      </c>
      <c r="D38" s="65" t="n">
        <v>0.03649</v>
      </c>
      <c r="E38" s="65" t="n">
        <v>0.04365</v>
      </c>
      <c r="F38" s="65" t="n">
        <v>0.03642</v>
      </c>
      <c r="G38" s="65" t="n">
        <v>0.03674</v>
      </c>
      <c r="H38" s="64" t="n">
        <v>0.037456</v>
      </c>
      <c r="I38" s="64" t="n">
        <v>0.00967</v>
      </c>
      <c r="J38" s="65" t="n">
        <v>0.0500577896</v>
      </c>
      <c r="K38" s="65" t="n">
        <v>0.0399201304</v>
      </c>
      <c r="L38" s="65" t="n">
        <v>0.0185710672</v>
      </c>
      <c r="M38" s="32" t="s">
        <v>199</v>
      </c>
    </row>
    <row r="39" customFormat="false" ht="15" hidden="false" customHeight="true" outlineLevel="0" collapsed="false">
      <c r="B39" s="28" t="s">
        <v>224</v>
      </c>
      <c r="C39" s="63" t="n">
        <v>0.03799</v>
      </c>
      <c r="D39" s="63" t="n">
        <v>0.03263</v>
      </c>
      <c r="E39" s="63" t="n">
        <v>0.03848</v>
      </c>
      <c r="F39" s="63" t="n">
        <v>0.03276</v>
      </c>
      <c r="G39" s="63" t="n">
        <v>0.04114</v>
      </c>
      <c r="H39" s="64" t="n">
        <v>0.0366</v>
      </c>
      <c r="I39" s="64" t="n">
        <v>0.00851</v>
      </c>
      <c r="J39" s="63" t="n">
        <v>0.0500577896</v>
      </c>
      <c r="K39" s="63" t="n">
        <v>0.0399201304</v>
      </c>
      <c r="L39" s="63" t="n">
        <v>0.0185710672</v>
      </c>
      <c r="M39" s="32" t="s">
        <v>199</v>
      </c>
    </row>
    <row r="40" customFormat="false" ht="18" hidden="false" customHeight="true" outlineLevel="0" collapsed="false">
      <c r="B40" s="54" t="s">
        <v>225</v>
      </c>
      <c r="C40" s="39"/>
      <c r="D40" s="39"/>
      <c r="E40" s="39"/>
      <c r="F40" s="39"/>
      <c r="G40" s="39"/>
      <c r="H40" s="66" t="n">
        <f aca="false">AVERAGE(H15:H39)</f>
        <v>0.04498896</v>
      </c>
      <c r="I40" s="66" t="n">
        <f aca="false">AVERAGE(I15:I39)</f>
        <v>0.0087848</v>
      </c>
      <c r="J40" s="66" t="n">
        <v>0.0500577896</v>
      </c>
      <c r="K40" s="66" t="n">
        <v>0.0399201304</v>
      </c>
      <c r="L40" s="66" t="n">
        <v>0.0185710672</v>
      </c>
      <c r="M40" s="39"/>
    </row>
    <row r="42" customFormat="false" ht="19.5" hidden="false" customHeight="true" outlineLevel="0" collapsed="false">
      <c r="B42" s="43" t="s">
        <v>226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</row>
  </sheetData>
  <mergeCells count="5">
    <mergeCell ref="B2:M2"/>
    <mergeCell ref="B3:M3"/>
    <mergeCell ref="B5:G5"/>
    <mergeCell ref="B13:M13"/>
    <mergeCell ref="B42:M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8" min="3" style="1" width="16"/>
    <col collapsed="false" customWidth="true" hidden="false" outlineLevel="0" max="9" min="9" style="1" width="2"/>
  </cols>
  <sheetData>
    <row r="1" customFormat="false" ht="15" hidden="false" customHeight="true" outlineLevel="0" collapsed="false">
      <c r="A1" s="20"/>
      <c r="B1" s="20"/>
      <c r="C1" s="20"/>
      <c r="D1" s="20"/>
      <c r="E1" s="20"/>
      <c r="F1" s="20"/>
      <c r="G1" s="20"/>
      <c r="H1" s="20"/>
      <c r="I1" s="20"/>
    </row>
    <row r="2" customFormat="false" ht="21.75" hidden="false" customHeight="true" outlineLevel="0" collapsed="false">
      <c r="A2" s="20"/>
      <c r="B2" s="67" t="s">
        <v>227</v>
      </c>
      <c r="C2" s="67"/>
      <c r="D2" s="67"/>
      <c r="E2" s="67"/>
      <c r="F2" s="67"/>
      <c r="G2" s="67"/>
      <c r="H2" s="67"/>
      <c r="I2" s="20"/>
    </row>
    <row r="3" customFormat="false" ht="15" hidden="false" customHeight="true" outlineLevel="0" collapsed="false">
      <c r="A3" s="20"/>
      <c r="B3" s="68" t="s">
        <v>228</v>
      </c>
      <c r="C3" s="68"/>
      <c r="D3" s="68"/>
      <c r="E3" s="68"/>
      <c r="F3" s="68"/>
      <c r="G3" s="68"/>
      <c r="H3" s="68"/>
      <c r="I3" s="20"/>
    </row>
    <row r="4" customFormat="false" ht="15" hidden="false" customHeight="true" outlineLevel="0" collapsed="false">
      <c r="A4" s="20"/>
      <c r="B4" s="69" t="s">
        <v>229</v>
      </c>
      <c r="C4" s="69"/>
      <c r="D4" s="69"/>
      <c r="E4" s="69"/>
      <c r="F4" s="69"/>
      <c r="G4" s="69"/>
      <c r="H4" s="69"/>
      <c r="I4" s="20"/>
    </row>
    <row r="5" customFormat="false" ht="15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</row>
    <row r="6" customFormat="false" ht="15.75" hidden="false" customHeight="true" outlineLevel="0" collapsed="false">
      <c r="B6" s="70" t="s">
        <v>230</v>
      </c>
      <c r="C6" s="70" t="s">
        <v>231</v>
      </c>
      <c r="D6" s="70" t="s">
        <v>110</v>
      </c>
      <c r="E6" s="70" t="s">
        <v>134</v>
      </c>
      <c r="F6" s="70" t="s">
        <v>232</v>
      </c>
      <c r="G6" s="70" t="s">
        <v>233</v>
      </c>
    </row>
    <row r="7" customFormat="false" ht="27.75" hidden="false" customHeight="true" outlineLevel="0" collapsed="false">
      <c r="B7" s="71" t="s">
        <v>234</v>
      </c>
      <c r="C7" s="72" t="s">
        <v>235</v>
      </c>
      <c r="D7" s="72" t="s">
        <v>236</v>
      </c>
      <c r="E7" s="72" t="s">
        <v>237</v>
      </c>
      <c r="F7" s="73" t="s">
        <v>238</v>
      </c>
      <c r="G7" s="71" t="s">
        <v>239</v>
      </c>
    </row>
    <row r="8" customFormat="false" ht="13.5" hidden="false" customHeight="true" outlineLevel="0" collapsed="false">
      <c r="B8" s="74" t="s">
        <v>240</v>
      </c>
      <c r="C8" s="75" t="s">
        <v>241</v>
      </c>
      <c r="D8" s="75" t="s">
        <v>242</v>
      </c>
      <c r="E8" s="75" t="s">
        <v>243</v>
      </c>
      <c r="F8" s="76" t="s">
        <v>244</v>
      </c>
      <c r="G8" s="74" t="s">
        <v>245</v>
      </c>
    </row>
    <row r="10" customFormat="false" ht="19.5" hidden="false" customHeight="true" outlineLevel="0" collapsed="false">
      <c r="B10" s="26" t="s">
        <v>246</v>
      </c>
      <c r="C10" s="26"/>
      <c r="D10" s="26"/>
      <c r="E10" s="26"/>
      <c r="F10" s="26"/>
      <c r="G10" s="26"/>
      <c r="H10" s="26"/>
    </row>
    <row r="11" customFormat="false" ht="30" hidden="false" customHeight="true" outlineLevel="0" collapsed="false">
      <c r="B11" s="77" t="s">
        <v>247</v>
      </c>
      <c r="C11" s="78" t="s">
        <v>248</v>
      </c>
      <c r="D11" s="78"/>
      <c r="E11" s="78"/>
      <c r="F11" s="78"/>
      <c r="G11" s="78"/>
      <c r="H11" s="78"/>
    </row>
    <row r="12" customFormat="false" ht="30" hidden="false" customHeight="true" outlineLevel="0" collapsed="false">
      <c r="B12" s="77" t="s">
        <v>249</v>
      </c>
      <c r="C12" s="79" t="s">
        <v>250</v>
      </c>
      <c r="D12" s="79"/>
      <c r="E12" s="79"/>
      <c r="F12" s="79"/>
      <c r="G12" s="79"/>
      <c r="H12" s="79"/>
    </row>
    <row r="13" customFormat="false" ht="30" hidden="false" customHeight="true" outlineLevel="0" collapsed="false">
      <c r="B13" s="77" t="s">
        <v>251</v>
      </c>
      <c r="C13" s="78" t="s">
        <v>252</v>
      </c>
      <c r="D13" s="78"/>
      <c r="E13" s="78"/>
      <c r="F13" s="78"/>
      <c r="G13" s="78"/>
      <c r="H13" s="78"/>
    </row>
    <row r="14" customFormat="false" ht="30" hidden="false" customHeight="true" outlineLevel="0" collapsed="false">
      <c r="B14" s="77" t="s">
        <v>253</v>
      </c>
      <c r="C14" s="79" t="s">
        <v>254</v>
      </c>
      <c r="D14" s="79"/>
      <c r="E14" s="79"/>
      <c r="F14" s="79"/>
      <c r="G14" s="79"/>
      <c r="H14" s="79"/>
    </row>
    <row r="15" customFormat="false" ht="30" hidden="false" customHeight="true" outlineLevel="0" collapsed="false">
      <c r="B15" s="77" t="s">
        <v>255</v>
      </c>
      <c r="C15" s="78" t="s">
        <v>256</v>
      </c>
      <c r="D15" s="78"/>
      <c r="E15" s="78"/>
      <c r="F15" s="78"/>
      <c r="G15" s="78"/>
      <c r="H15" s="78"/>
    </row>
    <row r="17" customFormat="false" ht="19.5" hidden="false" customHeight="true" outlineLevel="0" collapsed="false">
      <c r="B17" s="80" t="s">
        <v>257</v>
      </c>
      <c r="C17" s="80"/>
      <c r="D17" s="80"/>
      <c r="E17" s="80"/>
      <c r="F17" s="80"/>
      <c r="G17" s="80"/>
      <c r="H17" s="80"/>
    </row>
    <row r="18" customFormat="false" ht="15.75" hidden="false" customHeight="true" outlineLevel="0" collapsed="false">
      <c r="B18" s="81" t="s">
        <v>258</v>
      </c>
      <c r="C18" s="81" t="s">
        <v>259</v>
      </c>
      <c r="D18" s="81" t="s">
        <v>260</v>
      </c>
      <c r="E18" s="81" t="s">
        <v>261</v>
      </c>
      <c r="F18" s="81" t="s">
        <v>262</v>
      </c>
      <c r="G18" s="81" t="s">
        <v>263</v>
      </c>
    </row>
    <row r="19" customFormat="false" ht="15.75" hidden="false" customHeight="true" outlineLevel="0" collapsed="false">
      <c r="B19" s="82" t="s">
        <v>264</v>
      </c>
      <c r="C19" s="28" t="s">
        <v>265</v>
      </c>
      <c r="D19" s="28" t="s">
        <v>136</v>
      </c>
      <c r="E19" s="83" t="s">
        <v>266</v>
      </c>
      <c r="F19" s="28" t="s">
        <v>267</v>
      </c>
      <c r="G19" s="38" t="s">
        <v>268</v>
      </c>
    </row>
    <row r="20" customFormat="false" ht="15.75" hidden="false" customHeight="true" outlineLevel="0" collapsed="false">
      <c r="B20" s="84" t="s">
        <v>269</v>
      </c>
      <c r="C20" s="33" t="s">
        <v>270</v>
      </c>
      <c r="D20" s="33" t="s">
        <v>271</v>
      </c>
      <c r="E20" s="85" t="s">
        <v>272</v>
      </c>
      <c r="F20" s="33" t="s">
        <v>273</v>
      </c>
      <c r="G20" s="38" t="s">
        <v>268</v>
      </c>
    </row>
    <row r="21" customFormat="false" ht="15.75" hidden="false" customHeight="true" outlineLevel="0" collapsed="false">
      <c r="B21" s="82" t="s">
        <v>274</v>
      </c>
      <c r="C21" s="28" t="s">
        <v>275</v>
      </c>
      <c r="D21" s="28" t="s">
        <v>140</v>
      </c>
      <c r="E21" s="83" t="s">
        <v>276</v>
      </c>
      <c r="F21" s="28" t="s">
        <v>277</v>
      </c>
      <c r="G21" s="38" t="s">
        <v>268</v>
      </c>
    </row>
    <row r="22" customFormat="false" ht="15.75" hidden="false" customHeight="true" outlineLevel="0" collapsed="false">
      <c r="B22" s="84" t="s">
        <v>278</v>
      </c>
      <c r="C22" s="33" t="s">
        <v>40</v>
      </c>
      <c r="D22" s="33" t="s">
        <v>139</v>
      </c>
      <c r="E22" s="85" t="s">
        <v>279</v>
      </c>
      <c r="F22" s="33" t="s">
        <v>280</v>
      </c>
      <c r="G22" s="38" t="s">
        <v>268</v>
      </c>
    </row>
    <row r="23" customFormat="false" ht="15.75" hidden="false" customHeight="true" outlineLevel="0" collapsed="false">
      <c r="B23" s="82" t="s">
        <v>281</v>
      </c>
      <c r="C23" s="28" t="s">
        <v>282</v>
      </c>
      <c r="D23" s="28" t="s">
        <v>283</v>
      </c>
      <c r="E23" s="83" t="s">
        <v>284</v>
      </c>
      <c r="F23" s="28" t="s">
        <v>285</v>
      </c>
      <c r="G23" s="38" t="s">
        <v>268</v>
      </c>
    </row>
    <row r="24" customFormat="false" ht="15.75" hidden="false" customHeight="true" outlineLevel="0" collapsed="false">
      <c r="B24" s="84" t="s">
        <v>286</v>
      </c>
      <c r="C24" s="33" t="s">
        <v>287</v>
      </c>
      <c r="D24" s="33" t="s">
        <v>137</v>
      </c>
      <c r="E24" s="85" t="s">
        <v>288</v>
      </c>
      <c r="F24" s="33" t="s">
        <v>289</v>
      </c>
      <c r="G24" s="38" t="s">
        <v>268</v>
      </c>
    </row>
    <row r="26" customFormat="false" ht="19.5" hidden="false" customHeight="true" outlineLevel="0" collapsed="false">
      <c r="B26" s="86" t="s">
        <v>290</v>
      </c>
      <c r="C26" s="86"/>
      <c r="D26" s="86"/>
      <c r="E26" s="86"/>
      <c r="F26" s="86"/>
      <c r="G26" s="86"/>
      <c r="H26" s="86"/>
    </row>
    <row r="27" customFormat="false" ht="19.5" hidden="false" customHeight="true" outlineLevel="0" collapsed="false">
      <c r="B27" s="87" t="s">
        <v>291</v>
      </c>
      <c r="C27" s="78" t="s">
        <v>292</v>
      </c>
      <c r="D27" s="78"/>
      <c r="E27" s="78"/>
      <c r="F27" s="78"/>
      <c r="G27" s="78"/>
      <c r="H27" s="78"/>
    </row>
    <row r="28" customFormat="false" ht="19.5" hidden="false" customHeight="true" outlineLevel="0" collapsed="false">
      <c r="B28" s="88" t="s">
        <v>293</v>
      </c>
      <c r="C28" s="79" t="s">
        <v>294</v>
      </c>
      <c r="D28" s="79"/>
      <c r="E28" s="79"/>
      <c r="F28" s="79"/>
      <c r="G28" s="79"/>
      <c r="H28" s="79"/>
    </row>
    <row r="29" customFormat="false" ht="19.5" hidden="false" customHeight="true" outlineLevel="0" collapsed="false">
      <c r="B29" s="88" t="s">
        <v>293</v>
      </c>
      <c r="C29" s="78" t="s">
        <v>295</v>
      </c>
      <c r="D29" s="78"/>
      <c r="E29" s="78"/>
      <c r="F29" s="78"/>
      <c r="G29" s="78"/>
      <c r="H29" s="78"/>
    </row>
    <row r="30" customFormat="false" ht="19.5" hidden="false" customHeight="true" outlineLevel="0" collapsed="false">
      <c r="B30" s="89" t="s">
        <v>296</v>
      </c>
      <c r="C30" s="79" t="s">
        <v>297</v>
      </c>
      <c r="D30" s="79"/>
      <c r="E30" s="79"/>
      <c r="F30" s="79"/>
      <c r="G30" s="79"/>
      <c r="H30" s="79"/>
    </row>
    <row r="32" customFormat="false" ht="15" hidden="false" customHeight="true" outlineLevel="0" collapsed="false">
      <c r="B32" s="90" t="s">
        <v>298</v>
      </c>
      <c r="C32" s="90"/>
      <c r="D32" s="90"/>
      <c r="E32" s="90"/>
      <c r="F32" s="90"/>
      <c r="G32" s="90"/>
      <c r="H32" s="90"/>
    </row>
  </sheetData>
  <mergeCells count="16">
    <mergeCell ref="B2:H2"/>
    <mergeCell ref="B3:H3"/>
    <mergeCell ref="B4:H4"/>
    <mergeCell ref="B10:H10"/>
    <mergeCell ref="C11:H11"/>
    <mergeCell ref="C12:H12"/>
    <mergeCell ref="C13:H13"/>
    <mergeCell ref="C14:H14"/>
    <mergeCell ref="C15:H15"/>
    <mergeCell ref="B17:H17"/>
    <mergeCell ref="B26:H26"/>
    <mergeCell ref="C27:H27"/>
    <mergeCell ref="C28:H28"/>
    <mergeCell ref="C29:H29"/>
    <mergeCell ref="C30:H30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2026-04-24T23:16:12Z</dcterms:created>
  <dc:creator>openpyxl</dc:creator>
  <dc:description/>
  <dc:language>en-US</dc:language>
  <cp:lastModifiedBy/>
  <dcterms:modified xsi:type="dcterms:W3CDTF">2026-04-24T17:25:04Z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